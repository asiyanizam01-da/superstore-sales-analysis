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3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ASIYA_NIZAM\TRAINING\DATA ANALYSIS\Portfolio Projects\SuperStore Sales SQL Project\outputs\"/>
    </mc:Choice>
  </mc:AlternateContent>
  <xr:revisionPtr revIDLastSave="0" documentId="13_ncr:1_{3C47D8AD-604D-4055-A3ED-3FDA5A4D5F1B}" xr6:coauthVersionLast="47" xr6:coauthVersionMax="47" xr10:uidLastSave="{00000000-0000-0000-0000-000000000000}"/>
  <bookViews>
    <workbookView xWindow="-108" yWindow="-108" windowWidth="23256" windowHeight="12456" activeTab="1" xr2:uid="{62BB0A67-A219-4723-A5D0-C55B6D200307}"/>
  </bookViews>
  <sheets>
    <sheet name="Dashboard1 - Overview " sheetId="17" r:id="rId1"/>
    <sheet name="Dashboard2 - Region &amp; Customer" sheetId="18" r:id="rId2"/>
    <sheet name="Dashboard3 - Product &amp; Discount" sheetId="19" r:id="rId3"/>
    <sheet name="Business KPI" sheetId="2" r:id="rId4"/>
    <sheet name="yearly_trend" sheetId="3" r:id="rId5"/>
    <sheet name="monthly_trend" sheetId="4" r:id="rId6"/>
    <sheet name="sales_by_shipmode" sheetId="15" r:id="rId7"/>
    <sheet name="sales_by_region" sheetId="5" r:id="rId8"/>
    <sheet name="top_states" sheetId="6" r:id="rId9"/>
    <sheet name="top_customers" sheetId="8" r:id="rId10"/>
    <sheet name="sales_by_customer_segment" sheetId="14" r:id="rId11"/>
    <sheet name="sales_by_category" sheetId="10" r:id="rId12"/>
    <sheet name="subcategory_performance" sheetId="11" r:id="rId13"/>
    <sheet name="discount_impact" sheetId="12" r:id="rId14"/>
  </sheets>
  <definedNames>
    <definedName name="_xlchart.v1.10" hidden="1">subcategory_performance!$C$2:$C$18</definedName>
    <definedName name="_xlchart.v1.8" hidden="1">subcategory_performance!$A$2:$B$18</definedName>
    <definedName name="_xlchart.v1.9" hidden="1">subcategory_performance!$C$1</definedName>
    <definedName name="_xlchart.v5.0" hidden="1">top_states!$B$1</definedName>
    <definedName name="_xlchart.v5.1" hidden="1">top_states!$B$2:$B$11</definedName>
    <definedName name="_xlchart.v5.2" hidden="1">top_states!$D$1</definedName>
    <definedName name="_xlchart.v5.3" hidden="1">top_states!$D$2:$D$11</definedName>
    <definedName name="_xlchart.v5.4" hidden="1">top_states!$B$11</definedName>
    <definedName name="_xlchart.v5.5" hidden="1">top_states!$B$12:$B$21</definedName>
    <definedName name="_xlchart.v5.6" hidden="1">top_states!$D$11</definedName>
    <definedName name="_xlchart.v5.7" hidden="1">top_states!$D$12:$D$21</definedName>
    <definedName name="ExternalData_1" localSheetId="3" hidden="1">'Business KPI'!$A$1:$E$2</definedName>
    <definedName name="ExternalData_1" localSheetId="13" hidden="1">discount_impact!$A$1:$F$8</definedName>
    <definedName name="ExternalData_1" localSheetId="5" hidden="1">monthly_trend!$A:$F</definedName>
    <definedName name="ExternalData_1" localSheetId="11" hidden="1">sales_by_category!$A$1:$D$4</definedName>
    <definedName name="ExternalData_1" localSheetId="10" hidden="1">sales_by_customer_segment!$A$1:$G$4</definedName>
    <definedName name="ExternalData_1" localSheetId="7" hidden="1">sales_by_region!$A$1:$F$5</definedName>
    <definedName name="ExternalData_1" localSheetId="6" hidden="1">sales_by_shipmode!$A$1:$E$5</definedName>
    <definedName name="ExternalData_1" localSheetId="9" hidden="1">top_customers!$A$2:$E$12</definedName>
    <definedName name="ExternalData_1" localSheetId="8" hidden="1">top_states!$A$1:$F$21</definedName>
    <definedName name="ExternalData_1" localSheetId="4" hidden="1">yearly_trend!$A$1:$E$4</definedName>
    <definedName name="ExternalData_2" localSheetId="12" hidden="1">subcategory_performance!$A$1:$E$18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7" l="1"/>
  <c r="K2" i="17"/>
  <c r="H2" i="17"/>
  <c r="E2" i="17"/>
  <c r="B2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7D84B9-3F28-40E6-9A3A-A4D5B263B516}" keepAlive="1" name="Query - business_kpi" description="Connection to the 'business_kpi' query in the workbook." type="5" refreshedVersion="8" background="1" saveData="1">
    <dbPr connection="Provider=Microsoft.Mashup.OleDb.1;Data Source=$Workbook$;Location=business_kpi;Extended Properties=&quot;&quot;" command="SELECT * FROM [business_kpi]"/>
  </connection>
  <connection id="2" xr16:uid="{505FD652-EAF9-466B-A11E-5534D8724924}" keepAlive="1" name="Query - discount_impact" description="Connection to the 'discount_impact' query in the workbook." type="5" refreshedVersion="8" background="1" saveData="1">
    <dbPr connection="Provider=Microsoft.Mashup.OleDb.1;Data Source=$Workbook$;Location=discount_impact;Extended Properties=&quot;&quot;" command="SELECT * FROM [discount_impact]"/>
  </connection>
  <connection id="3" xr16:uid="{A8A7B40D-D2FD-4E75-AC6B-5C27CF546E90}" keepAlive="1" name="Query - monthly_trend" description="Connection to the 'monthly_trend' query in the workbook." type="5" refreshedVersion="8" background="1" saveData="1">
    <dbPr connection="Provider=Microsoft.Mashup.OleDb.1;Data Source=$Workbook$;Location=monthly_trend;Extended Properties=&quot;&quot;" command="SELECT * FROM [monthly_trend]"/>
  </connection>
  <connection id="4" xr16:uid="{52C53436-88FA-4FFD-870E-036211AB7B13}" keepAlive="1" name="Query - sales_by_category" description="Connection to the 'sales_by_category' query in the workbook." type="5" refreshedVersion="8" background="1" saveData="1">
    <dbPr connection="Provider=Microsoft.Mashup.OleDb.1;Data Source=$Workbook$;Location=sales_by_category;Extended Properties=&quot;&quot;" command="SELECT * FROM [sales_by_category]"/>
  </connection>
  <connection id="5" xr16:uid="{916DBA13-67A3-43D6-8CC2-D3881D6D3879}" keepAlive="1" name="Query - sales_by_customer_segment" description="Connection to the 'sales_by_customer_segment' query in the workbook." type="5" refreshedVersion="8" background="1" saveData="1">
    <dbPr connection="Provider=Microsoft.Mashup.OleDb.1;Data Source=$Workbook$;Location=sales_by_customer_segment;Extended Properties=&quot;&quot;" command="SELECT * FROM [sales_by_customer_segment]"/>
  </connection>
  <connection id="6" xr16:uid="{A782EA8D-5D16-4938-AC5F-0A773A9FC067}" keepAlive="1" name="Query - sales_by_region" description="Connection to the 'sales_by_region' query in the workbook." type="5" refreshedVersion="8" background="1" saveData="1">
    <dbPr connection="Provider=Microsoft.Mashup.OleDb.1;Data Source=$Workbook$;Location=sales_by_region;Extended Properties=&quot;&quot;" command="SELECT * FROM [sales_by_region]"/>
  </connection>
  <connection id="7" xr16:uid="{66CD3049-EBDB-47A5-9041-245FEA91D136}" keepAlive="1" name="Query - sales_by_shipmode" description="Connection to the 'sales_by_shipmode' query in the workbook." type="5" refreshedVersion="8" background="1" saveData="1">
    <dbPr connection="Provider=Microsoft.Mashup.OleDb.1;Data Source=$Workbook$;Location=sales_by_shipmode;Extended Properties=&quot;&quot;" command="SELECT * FROM [sales_by_shipmode]"/>
  </connection>
  <connection id="8" xr16:uid="{614E6074-F698-4C70-84AC-3B48491158DA}" keepAlive="1" name="Query - subcategory_performance" description="Connection to the 'subcategory_performance' query in the workbook." type="5" refreshedVersion="8" background="1" saveData="1">
    <dbPr connection="Provider=Microsoft.Mashup.OleDb.1;Data Source=$Workbook$;Location=subcategory_performance;Extended Properties=&quot;&quot;" command="SELECT * FROM [subcategory_performance]"/>
  </connection>
  <connection id="9" xr16:uid="{12F590C1-DA6E-4763-9AFC-13119A2ABA88}" keepAlive="1" name="Query - top_customers" description="Connection to the 'top_customers' query in the workbook." type="5" refreshedVersion="8" background="1" saveData="1">
    <dbPr connection="Provider=Microsoft.Mashup.OleDb.1;Data Source=$Workbook$;Location=top_customers;Extended Properties=&quot;&quot;" command="SELECT * FROM [top_customers]"/>
  </connection>
  <connection id="10" xr16:uid="{6C949FC0-022D-430D-81DC-A6C9031166AB}" keepAlive="1" name="Query - top_customers (2)" description="Connection to the 'top_customers (2)' query in the workbook." type="5" refreshedVersion="0" background="1">
    <dbPr connection="Provider=Microsoft.Mashup.OleDb.1;Data Source=$Workbook$;Location=&quot;top_customers (2)&quot;;Extended Properties=&quot;&quot;" command="SELECT * FROM [top_customers (2)]"/>
  </connection>
  <connection id="11" xr16:uid="{593DB1AB-B8B6-4039-9990-83994C7E3B53}" keepAlive="1" name="Query - top_states" description="Connection to the 'top_states' query in the workbook." type="5" refreshedVersion="8" background="1" saveData="1">
    <dbPr connection="Provider=Microsoft.Mashup.OleDb.1;Data Source=$Workbook$;Location=top_states;Extended Properties=&quot;&quot;" command="SELECT * FROM [top_states]"/>
  </connection>
  <connection id="12" xr16:uid="{ABB75923-7EB2-4C56-86F4-AFFEDD79F8A7}" keepAlive="1" name="Query - yearly_trend" description="Connection to the 'yearly_trend' query in the workbook." type="5" refreshedVersion="8" background="1" saveData="1">
    <dbPr connection="Provider=Microsoft.Mashup.OleDb.1;Data Source=$Workbook$;Location=yearly_trend;Extended Properties=&quot;&quot;" command="SELECT * FROM [yearly_trend]"/>
  </connection>
</connections>
</file>

<file path=xl/sharedStrings.xml><?xml version="1.0" encoding="utf-8"?>
<sst xmlns="http://schemas.openxmlformats.org/spreadsheetml/2006/main" count="334" uniqueCount="237">
  <si>
    <t>total_sales</t>
  </si>
  <si>
    <t>total_profit</t>
  </si>
  <si>
    <t>profit_margin_pct</t>
  </si>
  <si>
    <t>total_orders</t>
  </si>
  <si>
    <t>total_customers</t>
  </si>
  <si>
    <t>year</t>
  </si>
  <si>
    <t>yearly_sales</t>
  </si>
  <si>
    <t>yearly_profit</t>
  </si>
  <si>
    <t>previous_year_sales</t>
  </si>
  <si>
    <t>sales_growth_pct</t>
  </si>
  <si>
    <t>NULL</t>
  </si>
  <si>
    <t>494040.27</t>
  </si>
  <si>
    <t>-4.26</t>
  </si>
  <si>
    <t>472992.98</t>
  </si>
  <si>
    <t>29.80</t>
  </si>
  <si>
    <t>month_name</t>
  </si>
  <si>
    <t>month_date</t>
  </si>
  <si>
    <t>monthly_revenue</t>
  </si>
  <si>
    <t>previous_month_revenue</t>
  </si>
  <si>
    <t>Jan</t>
  </si>
  <si>
    <t>2023-01-01 00:00:00+00</t>
  </si>
  <si>
    <t>Feb</t>
  </si>
  <si>
    <t>2023-02-01 00:00:00+00</t>
  </si>
  <si>
    <t>14518.06</t>
  </si>
  <si>
    <t>-68.87</t>
  </si>
  <si>
    <t>Mar</t>
  </si>
  <si>
    <t>2023-03-01 00:00:00+00</t>
  </si>
  <si>
    <t>4519.92</t>
  </si>
  <si>
    <t>1159.62</t>
  </si>
  <si>
    <t>Apr</t>
  </si>
  <si>
    <t>2023-04-01 00:00:00+01</t>
  </si>
  <si>
    <t>56933.94</t>
  </si>
  <si>
    <t>-50.30</t>
  </si>
  <si>
    <t>May</t>
  </si>
  <si>
    <t>2023-05-01 00:00:00+01</t>
  </si>
  <si>
    <t>28295.35</t>
  </si>
  <si>
    <t>-6.98</t>
  </si>
  <si>
    <t>Jun</t>
  </si>
  <si>
    <t>2023-06-01 00:00:00+01</t>
  </si>
  <si>
    <t>26319.76</t>
  </si>
  <si>
    <t>31.72</t>
  </si>
  <si>
    <t>Jul</t>
  </si>
  <si>
    <t>2023-07-01 00:00:00+01</t>
  </si>
  <si>
    <t>34669.49</t>
  </si>
  <si>
    <t>-2.09</t>
  </si>
  <si>
    <t>Aug</t>
  </si>
  <si>
    <t>2023-08-01 00:00:00+01</t>
  </si>
  <si>
    <t>33946.37</t>
  </si>
  <si>
    <t>-14.81</t>
  </si>
  <si>
    <t>Sep</t>
  </si>
  <si>
    <t>2023-09-01 00:00:00+01</t>
  </si>
  <si>
    <t>28918.34</t>
  </si>
  <si>
    <t>185.88</t>
  </si>
  <si>
    <t>Oct</t>
  </si>
  <si>
    <t>2023-10-01 00:00:00+01</t>
  </si>
  <si>
    <t>82670.42</t>
  </si>
  <si>
    <t>-60.79</t>
  </si>
  <si>
    <t>Nov</t>
  </si>
  <si>
    <t>2023-11-01 00:00:00+00</t>
  </si>
  <si>
    <t>32413.32</t>
  </si>
  <si>
    <t>143.19</t>
  </si>
  <si>
    <t>Dec</t>
  </si>
  <si>
    <t>2023-12-01 00:00:00+00</t>
  </si>
  <si>
    <t>78826.98</t>
  </si>
  <si>
    <t>-8.65</t>
  </si>
  <si>
    <t>2024-01-01 00:00:00+00</t>
  </si>
  <si>
    <t>72008.32</t>
  </si>
  <si>
    <t>-74.36</t>
  </si>
  <si>
    <t>2024-02-01 00:00:00+00</t>
  </si>
  <si>
    <t>18461.92</t>
  </si>
  <si>
    <t>-35.26</t>
  </si>
  <si>
    <t>2024-03-01 00:00:00+00</t>
  </si>
  <si>
    <t>11951.40</t>
  </si>
  <si>
    <t>234.51</t>
  </si>
  <si>
    <t>2024-04-01 00:00:00+01</t>
  </si>
  <si>
    <t>39978.64</t>
  </si>
  <si>
    <t>-14.47</t>
  </si>
  <si>
    <t>2024-05-01 00:00:00+01</t>
  </si>
  <si>
    <t>34195.25</t>
  </si>
  <si>
    <t>-11.55</t>
  </si>
  <si>
    <t>2024-06-01 00:00:00+01</t>
  </si>
  <si>
    <t>30246.98</t>
  </si>
  <si>
    <t>-18.02</t>
  </si>
  <si>
    <t>2024-07-01 00:00:00+01</t>
  </si>
  <si>
    <t>24797.31</t>
  </si>
  <si>
    <t>16.00</t>
  </si>
  <si>
    <t>2024-08-01 00:00:00+01</t>
  </si>
  <si>
    <t>28765.32</t>
  </si>
  <si>
    <t>28.83</t>
  </si>
  <si>
    <t>2024-09-01 00:00:00+01</t>
  </si>
  <si>
    <t>37056.99</t>
  </si>
  <si>
    <t>74.40</t>
  </si>
  <si>
    <t>2024-10-01 00:00:00+01</t>
  </si>
  <si>
    <t>64627.00</t>
  </si>
  <si>
    <t>-51.40</t>
  </si>
  <si>
    <t>2024-11-01 00:00:00+00</t>
  </si>
  <si>
    <t>31407.11</t>
  </si>
  <si>
    <t>141.90</t>
  </si>
  <si>
    <t>2024-12-01 00:00:00+00</t>
  </si>
  <si>
    <t>75972.51</t>
  </si>
  <si>
    <t>-0.58</t>
  </si>
  <si>
    <t>2025-01-01 00:00:00+00</t>
  </si>
  <si>
    <t>75532.55</t>
  </si>
  <si>
    <t>-75.07</t>
  </si>
  <si>
    <t>2025-02-01 00:00:00+00</t>
  </si>
  <si>
    <t>18830.36</t>
  </si>
  <si>
    <t>22.03</t>
  </si>
  <si>
    <t>2025-03-01 00:00:00+00</t>
  </si>
  <si>
    <t>22978.82</t>
  </si>
  <si>
    <t>130.78</t>
  </si>
  <si>
    <t>2025-04-01 00:00:00+01</t>
  </si>
  <si>
    <t>53031.05</t>
  </si>
  <si>
    <t>-26.78</t>
  </si>
  <si>
    <t>2025-05-01 00:00:00+01</t>
  </si>
  <si>
    <t>38829.16</t>
  </si>
  <si>
    <t>46.91</t>
  </si>
  <si>
    <t>2025-06-01 00:00:00+01</t>
  </si>
  <si>
    <t>57042.86</t>
  </si>
  <si>
    <t>-28.23</t>
  </si>
  <si>
    <t>2025-07-01 00:00:00+01</t>
  </si>
  <si>
    <t>40937.15</t>
  </si>
  <si>
    <t>-1.56</t>
  </si>
  <si>
    <t>2025-08-01 00:00:00+01</t>
  </si>
  <si>
    <t>40300.53</t>
  </si>
  <si>
    <t>-21.30</t>
  </si>
  <si>
    <t>2025-09-01 00:00:00+01</t>
  </si>
  <si>
    <t>31716.79</t>
  </si>
  <si>
    <t>131.81</t>
  </si>
  <si>
    <t>2025-10-01 00:00:00+01</t>
  </si>
  <si>
    <t>73521.73</t>
  </si>
  <si>
    <t>-18.62</t>
  </si>
  <si>
    <t>2025-11-01 00:00:00+00</t>
  </si>
  <si>
    <t>59831.05</t>
  </si>
  <si>
    <t>32.73</t>
  </si>
  <si>
    <t>2025-12-01 00:00:00+00</t>
  </si>
  <si>
    <t>79412.03</t>
  </si>
  <si>
    <t>22.78</t>
  </si>
  <si>
    <t>region</t>
  </si>
  <si>
    <t>avg_order_value</t>
  </si>
  <si>
    <t>West</t>
  </si>
  <si>
    <t>East</t>
  </si>
  <si>
    <t>Central</t>
  </si>
  <si>
    <t>South</t>
  </si>
  <si>
    <t>country_region</t>
  </si>
  <si>
    <t>state_province</t>
  </si>
  <si>
    <t>rank</t>
  </si>
  <si>
    <t>Canada</t>
  </si>
  <si>
    <t>Ontario</t>
  </si>
  <si>
    <t>Alberta</t>
  </si>
  <si>
    <t>Quebec</t>
  </si>
  <si>
    <t>British Columbia</t>
  </si>
  <si>
    <t>Manitoba</t>
  </si>
  <si>
    <t>Prince Edward Island</t>
  </si>
  <si>
    <t>Newfoundland and Labrador</t>
  </si>
  <si>
    <t>Nova Scotia</t>
  </si>
  <si>
    <t>New Brunswick</t>
  </si>
  <si>
    <t>Saskatchewan</t>
  </si>
  <si>
    <t>United States</t>
  </si>
  <si>
    <t>California</t>
  </si>
  <si>
    <t>New York</t>
  </si>
  <si>
    <t>Texas</t>
  </si>
  <si>
    <t>Pennsylvania</t>
  </si>
  <si>
    <t>Washington</t>
  </si>
  <si>
    <t>Virginia</t>
  </si>
  <si>
    <t>Florida</t>
  </si>
  <si>
    <t>Illinois</t>
  </si>
  <si>
    <t>Ohio</t>
  </si>
  <si>
    <t>Michigan</t>
  </si>
  <si>
    <t>Sean Miller</t>
  </si>
  <si>
    <t>Tamara Chand</t>
  </si>
  <si>
    <t>Sanjit Chand</t>
  </si>
  <si>
    <t>Ken Lonsdale</t>
  </si>
  <si>
    <t>Adrian Barton</t>
  </si>
  <si>
    <t>Christopher Conant</t>
  </si>
  <si>
    <t>Becky Martin</t>
  </si>
  <si>
    <t>Sanjit Engle</t>
  </si>
  <si>
    <t>Greg Tran</t>
  </si>
  <si>
    <t>Bill Shonely</t>
  </si>
  <si>
    <t>category</t>
  </si>
  <si>
    <t>Technology</t>
  </si>
  <si>
    <t>Furniture</t>
  </si>
  <si>
    <t>Office Supplies</t>
  </si>
  <si>
    <t>sub_category</t>
  </si>
  <si>
    <t>Chairs</t>
  </si>
  <si>
    <t>Tables</t>
  </si>
  <si>
    <t>Bookcases</t>
  </si>
  <si>
    <t>Furnishings</t>
  </si>
  <si>
    <t>Storage</t>
  </si>
  <si>
    <t>Binders</t>
  </si>
  <si>
    <t>Appliances</t>
  </si>
  <si>
    <t>Paper</t>
  </si>
  <si>
    <t>Supplies</t>
  </si>
  <si>
    <t>Art</t>
  </si>
  <si>
    <t>Envelopes</t>
  </si>
  <si>
    <t>Labels</t>
  </si>
  <si>
    <t>Fasteners</t>
  </si>
  <si>
    <t>Phones</t>
  </si>
  <si>
    <t>Machines</t>
  </si>
  <si>
    <t>Accessories</t>
  </si>
  <si>
    <t>Copiers</t>
  </si>
  <si>
    <t>discount_band</t>
  </si>
  <si>
    <t>sort_order</t>
  </si>
  <si>
    <t>total_rows</t>
  </si>
  <si>
    <t>average_profit</t>
  </si>
  <si>
    <t>0% - No Discount</t>
  </si>
  <si>
    <t>1 - 10%</t>
  </si>
  <si>
    <t>11 - 20%</t>
  </si>
  <si>
    <t>21 - 30%</t>
  </si>
  <si>
    <t>31 - 40%</t>
  </si>
  <si>
    <t>41 - 50%</t>
  </si>
  <si>
    <t>Above 50%</t>
  </si>
  <si>
    <t>segment</t>
  </si>
  <si>
    <t>Consumer</t>
  </si>
  <si>
    <t>Corporate</t>
  </si>
  <si>
    <t>Home Office</t>
  </si>
  <si>
    <t>ship_mode</t>
  </si>
  <si>
    <t>avg_days_to_ship</t>
  </si>
  <si>
    <t>Standard Class</t>
  </si>
  <si>
    <t>Second Class</t>
  </si>
  <si>
    <t>First Class</t>
  </si>
  <si>
    <t>Same Day</t>
  </si>
  <si>
    <t>Superstore Sales Dashboard — Overview (2023–2025)</t>
  </si>
  <si>
    <t>Total Sales</t>
  </si>
  <si>
    <t>Total Profit</t>
  </si>
  <si>
    <t>Total Orders</t>
  </si>
  <si>
    <t>Total Customers</t>
  </si>
  <si>
    <t>month_year</t>
  </si>
  <si>
    <t>Profit Margin</t>
  </si>
  <si>
    <t>Superstore Sales Dashboard — Region &amp; Customer</t>
  </si>
  <si>
    <t>Customer Name</t>
  </si>
  <si>
    <t>Average Order Value</t>
  </si>
  <si>
    <t>Superstore Sales Dashboard — Product &amp; Discount</t>
  </si>
  <si>
    <t>Loss making Subcategories</t>
  </si>
  <si>
    <t>Profit</t>
  </si>
  <si>
    <t>Sales</t>
  </si>
  <si>
    <t>Top 10 Customers by Sales</t>
  </si>
  <si>
    <t>Subcategory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</si>
</sst>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£&quot;* #,##0.00_-;\-&quot;£&quot;* #,##0.00_-;_-&quot;£&quot;* &quot;-&quot;??_-;_-@_-"/>
    <numFmt numFmtId="164" formatCode="0.00&quot;%&quot;"/>
    <numFmt numFmtId="165" formatCode="[$-409]d\-mmm;@"/>
    <numFmt numFmtId="166" formatCode="[$-409]mmm\-yy;@"/>
    <numFmt numFmtId="167" formatCode="[$$-409]#,##0.00"/>
    <numFmt numFmtId="168" formatCode="\$0.0,,&quot;M&quot;"/>
  </numFmts>
  <fonts count="12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rgb="FF2E75B6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2E75B6"/>
      <name val="Calibri"/>
      <family val="2"/>
      <scheme val="minor"/>
    </font>
    <font>
      <b/>
      <sz val="8"/>
      <color rgb="FF2E75B6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9" tint="0.79998168889431442"/>
      </patternFill>
    </fill>
  </fills>
  <borders count="26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 style="thin">
        <color rgb="FF0070C0"/>
      </right>
      <top/>
      <bottom/>
      <diagonal/>
    </border>
    <border>
      <left/>
      <right style="thin">
        <color rgb="FF2E75B6"/>
      </right>
      <top/>
      <bottom/>
      <diagonal/>
    </border>
    <border>
      <left style="thin">
        <color rgb="FF0070C0"/>
      </left>
      <right style="thin">
        <color rgb="FF2E75B6"/>
      </right>
      <top/>
      <bottom/>
      <diagonal/>
    </border>
    <border>
      <left/>
      <right/>
      <top/>
      <bottom style="thin">
        <color rgb="FF2E75B6"/>
      </bottom>
      <diagonal/>
    </border>
    <border>
      <left/>
      <right style="thin">
        <color rgb="FF0070C0"/>
      </right>
      <top/>
      <bottom style="thin">
        <color rgb="FF2E75B6"/>
      </bottom>
      <diagonal/>
    </border>
    <border>
      <left style="thin">
        <color rgb="FF0070C0"/>
      </left>
      <right style="thin">
        <color rgb="FF0070C0"/>
      </right>
      <top/>
      <bottom style="thin">
        <color rgb="FF2E75B6"/>
      </bottom>
      <diagonal/>
    </border>
    <border>
      <left style="thin">
        <color rgb="FF0070C0"/>
      </left>
      <right style="thin">
        <color rgb="FF2E75B6"/>
      </right>
      <top/>
      <bottom style="thin">
        <color rgb="FF2E75B6"/>
      </bottom>
      <diagonal/>
    </border>
    <border>
      <left style="thin">
        <color rgb="FF2E75B6"/>
      </left>
      <right style="thin">
        <color rgb="FF2E75B6"/>
      </right>
      <top/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2E75B6"/>
      </left>
      <right style="thin">
        <color rgb="FF2E75B6"/>
      </right>
      <top/>
      <bottom style="thin">
        <color rgb="FF2E75B6"/>
      </bottom>
      <diagonal/>
    </border>
    <border>
      <left style="thin">
        <color rgb="FF2E75B6"/>
      </left>
      <right/>
      <top/>
      <bottom/>
      <diagonal/>
    </border>
    <border>
      <left style="thin">
        <color rgb="FF2E75B6"/>
      </left>
      <right/>
      <top style="thin">
        <color rgb="FF2E75B6"/>
      </top>
      <bottom style="thin">
        <color rgb="FF2E75B6"/>
      </bottom>
      <diagonal/>
    </border>
    <border>
      <left/>
      <right/>
      <top style="thin">
        <color rgb="FF2E75B6"/>
      </top>
      <bottom style="thin">
        <color rgb="FF2E75B6"/>
      </bottom>
      <diagonal/>
    </border>
    <border>
      <left style="thin">
        <color rgb="FF2E75B6"/>
      </left>
      <right style="thin">
        <color rgb="FF0070C0"/>
      </right>
      <top/>
      <bottom style="thin">
        <color rgb="FF2E75B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2" borderId="0" xfId="0" applyFill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4" fontId="0" fillId="0" borderId="0" xfId="0" applyNumberFormat="1"/>
    <xf numFmtId="0" fontId="0" fillId="4" borderId="0" xfId="0" applyFill="1"/>
    <xf numFmtId="0" fontId="0" fillId="2" borderId="0" xfId="0" applyFill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167" fontId="7" fillId="4" borderId="9" xfId="0" applyNumberFormat="1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167" fontId="8" fillId="4" borderId="15" xfId="0" applyNumberFormat="1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10" fillId="5" borderId="17" xfId="0" applyFont="1" applyFill="1" applyBorder="1" applyAlignment="1">
      <alignment horizontal="center" vertical="center"/>
    </xf>
    <xf numFmtId="0" fontId="9" fillId="4" borderId="20" xfId="0" applyFont="1" applyFill="1" applyBorder="1" applyAlignment="1">
      <alignment horizontal="center" vertical="center"/>
    </xf>
    <xf numFmtId="0" fontId="9" fillId="4" borderId="18" xfId="0" applyFont="1" applyFill="1" applyBorder="1" applyAlignment="1">
      <alignment horizontal="center" vertical="center"/>
    </xf>
    <xf numFmtId="0" fontId="8" fillId="4" borderId="20" xfId="0" applyFont="1" applyFill="1" applyBorder="1" applyAlignment="1">
      <alignment horizontal="center" vertical="center"/>
    </xf>
    <xf numFmtId="0" fontId="0" fillId="0" borderId="11" xfId="0" applyBorder="1"/>
    <xf numFmtId="0" fontId="7" fillId="4" borderId="20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167" fontId="7" fillId="4" borderId="15" xfId="0" applyNumberFormat="1" applyFont="1" applyFill="1" applyBorder="1" applyAlignment="1">
      <alignment horizontal="center" vertical="center"/>
    </xf>
    <xf numFmtId="0" fontId="0" fillId="0" borderId="13" xfId="0" applyBorder="1"/>
    <xf numFmtId="0" fontId="10" fillId="5" borderId="20" xfId="0" applyFont="1" applyFill="1" applyBorder="1" applyAlignment="1">
      <alignment horizontal="center" vertical="center"/>
    </xf>
    <xf numFmtId="0" fontId="9" fillId="4" borderId="18" xfId="0" applyFont="1" applyFill="1" applyBorder="1" applyAlignment="1">
      <alignment horizontal="center" vertical="center" wrapText="1"/>
    </xf>
    <xf numFmtId="0" fontId="0" fillId="0" borderId="21" xfId="0" applyBorder="1"/>
    <xf numFmtId="167" fontId="8" fillId="4" borderId="16" xfId="0" applyNumberFormat="1" applyFont="1" applyFill="1" applyBorder="1" applyAlignment="1">
      <alignment horizontal="center" vertical="center"/>
    </xf>
    <xf numFmtId="167" fontId="7" fillId="4" borderId="12" xfId="0" applyNumberFormat="1" applyFont="1" applyFill="1" applyBorder="1" applyAlignment="1">
      <alignment horizontal="center" vertical="center"/>
    </xf>
    <xf numFmtId="167" fontId="7" fillId="4" borderId="16" xfId="0" applyNumberFormat="1" applyFont="1" applyFill="1" applyBorder="1" applyAlignment="1">
      <alignment horizontal="center" vertical="center"/>
    </xf>
    <xf numFmtId="167" fontId="10" fillId="4" borderId="17" xfId="0" applyNumberFormat="1" applyFont="1" applyFill="1" applyBorder="1" applyAlignment="1">
      <alignment horizontal="center" vertical="center"/>
    </xf>
    <xf numFmtId="167" fontId="10" fillId="5" borderId="17" xfId="0" applyNumberFormat="1" applyFont="1" applyFill="1" applyBorder="1" applyAlignment="1">
      <alignment horizontal="center" vertical="center"/>
    </xf>
    <xf numFmtId="167" fontId="10" fillId="5" borderId="20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8" fontId="4" fillId="3" borderId="1" xfId="1" applyNumberFormat="1" applyFont="1" applyFill="1" applyBorder="1" applyAlignment="1">
      <alignment horizontal="center" vertical="center"/>
    </xf>
    <xf numFmtId="168" fontId="4" fillId="3" borderId="2" xfId="1" applyNumberFormat="1" applyFont="1" applyFill="1" applyBorder="1" applyAlignment="1">
      <alignment horizontal="center" vertical="center"/>
    </xf>
    <xf numFmtId="168" fontId="4" fillId="3" borderId="4" xfId="1" applyNumberFormat="1" applyFont="1" applyFill="1" applyBorder="1" applyAlignment="1">
      <alignment horizontal="center" vertical="center"/>
    </xf>
    <xf numFmtId="168" fontId="4" fillId="3" borderId="0" xfId="1" applyNumberFormat="1" applyFont="1" applyFill="1" applyBorder="1" applyAlignment="1">
      <alignment horizontal="center" vertical="center"/>
    </xf>
    <xf numFmtId="168" fontId="4" fillId="3" borderId="1" xfId="0" applyNumberFormat="1" applyFont="1" applyFill="1" applyBorder="1" applyAlignment="1">
      <alignment horizontal="center" vertical="center"/>
    </xf>
    <xf numFmtId="168" fontId="4" fillId="3" borderId="2" xfId="0" applyNumberFormat="1" applyFont="1" applyFill="1" applyBorder="1" applyAlignment="1">
      <alignment horizontal="center" vertical="center"/>
    </xf>
    <xf numFmtId="168" fontId="4" fillId="3" borderId="4" xfId="0" applyNumberFormat="1" applyFont="1" applyFill="1" applyBorder="1" applyAlignment="1">
      <alignment horizontal="center" vertical="center"/>
    </xf>
    <xf numFmtId="168" fontId="4" fillId="3" borderId="0" xfId="0" applyNumberFormat="1" applyFont="1" applyFill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164" fontId="11" fillId="0" borderId="25" xfId="0" applyNumberFormat="1" applyFon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57">
    <dxf>
      <numFmt numFmtId="167" formatCode="[$$-409]#,##0.00"/>
    </dxf>
    <dxf>
      <numFmt numFmtId="167" formatCode="[$$-409]#,##0.00"/>
    </dxf>
    <dxf>
      <numFmt numFmtId="167" formatCode="[$$-409]#,##0.00"/>
    </dxf>
    <dxf>
      <numFmt numFmtId="167" formatCode="[$$-409]#,##0.00"/>
    </dxf>
    <dxf>
      <numFmt numFmtId="167" formatCode="[$$-409]#,##0.00"/>
    </dxf>
    <dxf>
      <numFmt numFmtId="164" formatCode="0.00&quot;%&quot;"/>
    </dxf>
    <dxf>
      <numFmt numFmtId="167" formatCode="[$$-409]#,##0.00"/>
    </dxf>
    <dxf>
      <numFmt numFmtId="167" formatCode="[$$-409]#,##0.00"/>
    </dxf>
    <dxf>
      <numFmt numFmtId="167" formatCode="[$$-409]#,##0.00"/>
    </dxf>
    <dxf>
      <numFmt numFmtId="164" formatCode="0.00&quot;%&quot;"/>
    </dxf>
    <dxf>
      <numFmt numFmtId="167" formatCode="[$$-409]#,##0.00"/>
    </dxf>
    <dxf>
      <numFmt numFmtId="167" formatCode="[$$-409]#,##0.00"/>
    </dxf>
    <dxf>
      <numFmt numFmtId="167" formatCode="[$$-409]#,##0.00"/>
    </dxf>
    <dxf>
      <numFmt numFmtId="167" formatCode="[$$-409]#,##0.00"/>
    </dxf>
    <dxf>
      <numFmt numFmtId="167" formatCode="[$$-409]#,##0.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[$$-409]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$-409]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&quot;%&quot;"/>
      <alignment horizontal="center" vertical="center" textRotation="0" wrapText="0" indent="0" justifyLastLine="0" shrinkToFit="0" readingOrder="0"/>
    </dxf>
    <dxf>
      <numFmt numFmtId="167" formatCode="[$$-409]#,##0.00"/>
      <alignment horizontal="center" vertical="center" textRotation="0" wrapText="0" indent="0" justifyLastLine="0" shrinkToFit="0" readingOrder="0"/>
    </dxf>
    <dxf>
      <numFmt numFmtId="167" formatCode="[$$-409]#,##0.00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7" formatCode="[$$-409]#,##0.00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2E75B6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7" formatCode="[$$-409]#,##0.00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7" formatCode="[$$-409]#,##0.00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rgb="FF0070C0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2E75B6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2E75B6"/>
        </bottom>
      </border>
    </dxf>
    <dxf>
      <font>
        <b/>
        <strike val="0"/>
        <outline val="0"/>
        <shadow val="0"/>
        <u val="none"/>
        <vertAlign val="baseline"/>
        <sz val="9"/>
        <color rgb="FF2E75B6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numFmt numFmtId="167" formatCode="[$$-409]#,##0.00"/>
    </dxf>
    <dxf>
      <numFmt numFmtId="167" formatCode="[$$-409]#,##0.00"/>
    </dxf>
    <dxf>
      <numFmt numFmtId="0" formatCode="General"/>
    </dxf>
    <dxf>
      <numFmt numFmtId="0" formatCode="General"/>
    </dxf>
    <dxf>
      <numFmt numFmtId="167" formatCode="[$$-409]#,##0.00"/>
    </dxf>
    <dxf>
      <numFmt numFmtId="164" formatCode="0.00&quot;%&quot;"/>
    </dxf>
    <dxf>
      <numFmt numFmtId="167" formatCode="[$$-409]#,##0.00"/>
    </dxf>
    <dxf>
      <numFmt numFmtId="167" formatCode="[$$-409]#,##0.00"/>
    </dxf>
    <dxf>
      <numFmt numFmtId="0" formatCode="General"/>
    </dxf>
    <dxf>
      <numFmt numFmtId="0" formatCode="General"/>
    </dxf>
    <dxf>
      <numFmt numFmtId="166" formatCode="[$-409]mmm\-yy;@"/>
    </dxf>
    <dxf>
      <numFmt numFmtId="164" formatCode="0.00&quot;%&quot;"/>
    </dxf>
    <dxf>
      <numFmt numFmtId="167" formatCode="[$$-409]#,##0.00"/>
    </dxf>
    <dxf>
      <numFmt numFmtId="165" formatCode="[$-409]d\-mmm;@"/>
    </dxf>
    <dxf>
      <numFmt numFmtId="0" formatCode="General"/>
    </dxf>
  </dxfs>
  <tableStyles count="0" defaultTableStyle="TableStyleMedium2" defaultPivotStyle="PivotStyleLight16"/>
  <colors>
    <mruColors>
      <color rgb="FF2E75B6"/>
      <color rgb="FFE37F25"/>
      <color rgb="FF70AD47"/>
      <color rgb="FFF4B05E"/>
      <color rgb="FFFFC9C9"/>
      <color rgb="FFEE8A12"/>
      <color rgb="FFFF7575"/>
      <color rgb="FFFAD9B0"/>
      <color rgb="FFFFC0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 b="1">
                <a:solidFill>
                  <a:srgbClr val="2E75B6"/>
                </a:solidFill>
              </a:rPr>
              <a:t>Monthly</a:t>
            </a:r>
            <a:r>
              <a:rPr lang="en-US" sz="1050" b="1" baseline="0">
                <a:solidFill>
                  <a:srgbClr val="2E75B6"/>
                </a:solidFill>
              </a:rPr>
              <a:t> Revenue Trend (2023 - 2025)</a:t>
            </a:r>
            <a:endParaRPr lang="en-US" sz="1050" b="1">
              <a:solidFill>
                <a:srgbClr val="2E75B6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162508222452319E-2"/>
          <c:y val="0.13337186490270073"/>
          <c:w val="0.88733807467614922"/>
          <c:h val="0.63074333104870561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monthly_trend!$D$1</c:f>
              <c:strCache>
                <c:ptCount val="1"/>
                <c:pt idx="0">
                  <c:v>monthly_revenue</c:v>
                </c:pt>
              </c:strCache>
            </c:strRef>
          </c:tx>
          <c:spPr>
            <a:ln w="28575" cap="rnd">
              <a:solidFill>
                <a:srgbClr val="2E75B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2E75B6"/>
                </a:solidFill>
              </a:ln>
              <a:effectLst/>
            </c:spPr>
          </c:marker>
          <c:cat>
            <c:numRef>
              <c:f>monthly_trend!$G$2:$G$37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monthly_trend!$D$2:$D$37</c:f>
              <c:numCache>
                <c:formatCode>[$$-409]#,##0.00</c:formatCode>
                <c:ptCount val="36"/>
                <c:pt idx="0">
                  <c:v>14518.06</c:v>
                </c:pt>
                <c:pt idx="1">
                  <c:v>4519.92</c:v>
                </c:pt>
                <c:pt idx="2">
                  <c:v>56933.94</c:v>
                </c:pt>
                <c:pt idx="3">
                  <c:v>28295.35</c:v>
                </c:pt>
                <c:pt idx="4">
                  <c:v>26319.759999999998</c:v>
                </c:pt>
                <c:pt idx="5">
                  <c:v>34669.49</c:v>
                </c:pt>
                <c:pt idx="6">
                  <c:v>33946.370000000003</c:v>
                </c:pt>
                <c:pt idx="7">
                  <c:v>28918.34</c:v>
                </c:pt>
                <c:pt idx="8">
                  <c:v>82670.42</c:v>
                </c:pt>
                <c:pt idx="9">
                  <c:v>32413.32</c:v>
                </c:pt>
                <c:pt idx="10">
                  <c:v>78826.98</c:v>
                </c:pt>
                <c:pt idx="11">
                  <c:v>72008.320000000007</c:v>
                </c:pt>
                <c:pt idx="12">
                  <c:v>18461.919999999998</c:v>
                </c:pt>
                <c:pt idx="13">
                  <c:v>11951.4</c:v>
                </c:pt>
                <c:pt idx="14">
                  <c:v>39978.639999999999</c:v>
                </c:pt>
                <c:pt idx="15">
                  <c:v>34195.25</c:v>
                </c:pt>
                <c:pt idx="16">
                  <c:v>30246.98</c:v>
                </c:pt>
                <c:pt idx="17">
                  <c:v>24797.31</c:v>
                </c:pt>
                <c:pt idx="18">
                  <c:v>28765.32</c:v>
                </c:pt>
                <c:pt idx="19">
                  <c:v>37056.99</c:v>
                </c:pt>
                <c:pt idx="20">
                  <c:v>64627</c:v>
                </c:pt>
                <c:pt idx="21">
                  <c:v>31407.11</c:v>
                </c:pt>
                <c:pt idx="22">
                  <c:v>75972.509999999995</c:v>
                </c:pt>
                <c:pt idx="23">
                  <c:v>75532.55</c:v>
                </c:pt>
                <c:pt idx="24">
                  <c:v>18830.36</c:v>
                </c:pt>
                <c:pt idx="25">
                  <c:v>22978.82</c:v>
                </c:pt>
                <c:pt idx="26">
                  <c:v>53031.05</c:v>
                </c:pt>
                <c:pt idx="27">
                  <c:v>38829.160000000003</c:v>
                </c:pt>
                <c:pt idx="28">
                  <c:v>57042.86</c:v>
                </c:pt>
                <c:pt idx="29">
                  <c:v>40937.15</c:v>
                </c:pt>
                <c:pt idx="30">
                  <c:v>40300.53</c:v>
                </c:pt>
                <c:pt idx="31">
                  <c:v>31716.79</c:v>
                </c:pt>
                <c:pt idx="32">
                  <c:v>73521.73</c:v>
                </c:pt>
                <c:pt idx="33">
                  <c:v>59831.05</c:v>
                </c:pt>
                <c:pt idx="34">
                  <c:v>79412.03</c:v>
                </c:pt>
                <c:pt idx="35">
                  <c:v>97502.3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F1-4F7D-B030-F062205BC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1100687"/>
        <c:axId val="751108847"/>
      </c:lineChart>
      <c:dateAx>
        <c:axId val="751100687"/>
        <c:scaling>
          <c:orientation val="minMax"/>
        </c:scaling>
        <c:delete val="0"/>
        <c:axPos val="b"/>
        <c:numFmt formatCode="[$-409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108847"/>
        <c:crosses val="autoZero"/>
        <c:auto val="0"/>
        <c:lblOffset val="100"/>
        <c:baseTimeUnit val="months"/>
      </c:dateAx>
      <c:valAx>
        <c:axId val="751108847"/>
        <c:scaling>
          <c:orientation val="minMax"/>
        </c:scaling>
        <c:delete val="0"/>
        <c:axPos val="l"/>
        <c:numFmt formatCode="\$0.0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100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000" b="1">
                <a:solidFill>
                  <a:srgbClr val="2E75B6"/>
                </a:solidFill>
              </a:rPr>
              <a:t>Yearly</a:t>
            </a:r>
            <a:r>
              <a:rPr lang="en-IN" sz="1000" b="1" baseline="0">
                <a:solidFill>
                  <a:srgbClr val="2E75B6"/>
                </a:solidFill>
              </a:rPr>
              <a:t> Revenue vs Profit (2023 - 2025)</a:t>
            </a:r>
            <a:endParaRPr lang="en-IN" sz="1000" b="1">
              <a:solidFill>
                <a:srgbClr val="2E75B6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3376066880528829E-2"/>
          <c:y val="0.14179025848677793"/>
          <c:w val="0.8948955380577428"/>
          <c:h val="0.5837406877192439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yearly_trend!$B$1</c:f>
              <c:strCache>
                <c:ptCount val="1"/>
                <c:pt idx="0">
                  <c:v>yearly_sales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numRef>
              <c:f>yearly_trend!$A$2:$A$4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yearly_trend!$B$2:$B$4</c:f>
              <c:numCache>
                <c:formatCode>[$$-409]#,##0.00</c:formatCode>
                <c:ptCount val="3"/>
                <c:pt idx="0">
                  <c:v>494040.27</c:v>
                </c:pt>
                <c:pt idx="1">
                  <c:v>472992.98</c:v>
                </c:pt>
                <c:pt idx="2">
                  <c:v>613933.82999999996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F0-4753-AEF8-AE504B540643}"/>
            </c:ext>
          </c:extLst>
        </c:ser>
        <c:ser>
          <c:idx val="2"/>
          <c:order val="1"/>
          <c:tx>
            <c:strRef>
              <c:f>yearly_trend!$C$1</c:f>
              <c:strCache>
                <c:ptCount val="1"/>
                <c:pt idx="0">
                  <c:v>yearly_profit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numRef>
              <c:f>yearly_trend!$A$2:$A$4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yearly_trend!$C$2:$C$4</c:f>
              <c:numCache>
                <c:formatCode>[$$-409]#,##0.00</c:formatCode>
                <c:ptCount val="3"/>
                <c:pt idx="0">
                  <c:v>51684.38</c:v>
                </c:pt>
                <c:pt idx="1">
                  <c:v>62021.03</c:v>
                </c:pt>
                <c:pt idx="2">
                  <c:v>82665.31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F0-4753-AEF8-AE504B540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1126127"/>
        <c:axId val="751128047"/>
      </c:barChart>
      <c:catAx>
        <c:axId val="751126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128047"/>
        <c:crosses val="autoZero"/>
        <c:auto val="1"/>
        <c:lblAlgn val="ctr"/>
        <c:lblOffset val="100"/>
        <c:noMultiLvlLbl val="0"/>
      </c:catAx>
      <c:valAx>
        <c:axId val="751128047"/>
        <c:scaling>
          <c:orientation val="minMax"/>
        </c:scaling>
        <c:delete val="0"/>
        <c:axPos val="l"/>
        <c:numFmt formatCode="\$0.0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12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>
                <a:solidFill>
                  <a:srgbClr val="2E75B6"/>
                </a:solidFill>
              </a:rPr>
              <a:t>Year</a:t>
            </a:r>
            <a:r>
              <a:rPr lang="en-US" sz="1000" b="1" baseline="0">
                <a:solidFill>
                  <a:srgbClr val="2E75B6"/>
                </a:solidFill>
              </a:rPr>
              <a:t> over Year Sales Growth %</a:t>
            </a:r>
            <a:endParaRPr lang="en-US" sz="1000" b="1">
              <a:solidFill>
                <a:srgbClr val="2E75B6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yearly_trend!$H$1</c:f>
              <c:strCache>
                <c:ptCount val="1"/>
                <c:pt idx="0">
                  <c:v>sales_growth_pct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06B-47F1-B3A5-10E6BE108DDC}"/>
              </c:ext>
            </c:extLst>
          </c:dPt>
          <c:dPt>
            <c:idx val="1"/>
            <c:invertIfNegative val="0"/>
            <c:bubble3D val="0"/>
            <c:spPr>
              <a:solidFill>
                <a:srgbClr val="70AD4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06B-47F1-B3A5-10E6BE108D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yearly_trend!$G$2:$G$3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yearly_trend!$H$2:$H$3</c:f>
              <c:numCache>
                <c:formatCode>0.00"%"</c:formatCode>
                <c:ptCount val="2"/>
                <c:pt idx="0">
                  <c:v>-4.26</c:v>
                </c:pt>
                <c:pt idx="1">
                  <c:v>29.8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6B-47F1-B3A5-10E6BE108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1"/>
        <c:overlap val="-32"/>
        <c:axId val="737771967"/>
        <c:axId val="737766207"/>
      </c:barChart>
      <c:catAx>
        <c:axId val="73777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766207"/>
        <c:crosses val="autoZero"/>
        <c:auto val="1"/>
        <c:lblAlgn val="ctr"/>
        <c:lblOffset val="100"/>
        <c:noMultiLvlLbl val="0"/>
      </c:catAx>
      <c:valAx>
        <c:axId val="737766207"/>
        <c:scaling>
          <c:orientation val="minMax"/>
        </c:scaling>
        <c:delete val="0"/>
        <c:axPos val="l"/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77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>
                <a:solidFill>
                  <a:srgbClr val="2E75B6"/>
                </a:solidFill>
              </a:rPr>
              <a:t>Orders</a:t>
            </a:r>
            <a:r>
              <a:rPr lang="en-US" sz="1000" b="1" baseline="0">
                <a:solidFill>
                  <a:srgbClr val="2E75B6"/>
                </a:solidFill>
              </a:rPr>
              <a:t> by Shipping mode</a:t>
            </a:r>
            <a:endParaRPr lang="en-US" sz="1000" b="1">
              <a:solidFill>
                <a:srgbClr val="2E75B6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sales_by_shipmode!$B$1</c:f>
              <c:strCache>
                <c:ptCount val="1"/>
                <c:pt idx="0">
                  <c:v>total_orders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sales_by_shipmode!$A$2:$A$5</c:f>
              <c:strCache>
                <c:ptCount val="4"/>
                <c:pt idx="0">
                  <c:v>Standard Class</c:v>
                </c:pt>
                <c:pt idx="1">
                  <c:v>Second Class</c:v>
                </c:pt>
                <c:pt idx="2">
                  <c:v>First Class</c:v>
                </c:pt>
                <c:pt idx="3">
                  <c:v>Same Day</c:v>
                </c:pt>
              </c:strCache>
            </c:strRef>
          </c:cat>
          <c:val>
            <c:numRef>
              <c:f>sales_by_shipmode!$B$2:$B$5</c:f>
              <c:numCache>
                <c:formatCode>General</c:formatCode>
                <c:ptCount val="4"/>
                <c:pt idx="0">
                  <c:v>2052</c:v>
                </c:pt>
                <c:pt idx="1">
                  <c:v>652</c:v>
                </c:pt>
                <c:pt idx="2">
                  <c:v>508</c:v>
                </c:pt>
                <c:pt idx="3">
                  <c:v>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CD-4B09-B6B1-EAFCE0B11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5254703"/>
        <c:axId val="805256143"/>
      </c:barChart>
      <c:catAx>
        <c:axId val="80525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256143"/>
        <c:crosses val="autoZero"/>
        <c:auto val="1"/>
        <c:lblAlgn val="ctr"/>
        <c:lblOffset val="100"/>
        <c:noMultiLvlLbl val="0"/>
      </c:catAx>
      <c:valAx>
        <c:axId val="80525614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05254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000" b="1">
                <a:solidFill>
                  <a:srgbClr val="2E75B6"/>
                </a:solidFill>
                <a:latin typeface="+mn-lt"/>
              </a:rPr>
              <a:t>Sales</a:t>
            </a:r>
            <a:r>
              <a:rPr lang="en-IN" sz="1000" b="1" baseline="0">
                <a:solidFill>
                  <a:srgbClr val="2E75B6"/>
                </a:solidFill>
                <a:latin typeface="+mn-lt"/>
              </a:rPr>
              <a:t> by Region</a:t>
            </a:r>
            <a:endParaRPr lang="en-IN" sz="1000" b="1">
              <a:solidFill>
                <a:srgbClr val="2E75B6"/>
              </a:solidFill>
              <a:latin typeface="+mn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sales_by_region!$C$1</c:f>
              <c:strCache>
                <c:ptCount val="1"/>
                <c:pt idx="0">
                  <c:v>total_sales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Lbls>
            <c:numFmt formatCode="\$0.0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sales_by_region!$A$2:$A$5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sales_by_region!$C$2:$C$5</c:f>
              <c:numCache>
                <c:formatCode>[$$-409]#,##0.00</c:formatCode>
                <c:ptCount val="4"/>
                <c:pt idx="0">
                  <c:v>481572.69</c:v>
                </c:pt>
                <c:pt idx="1">
                  <c:v>475261.18</c:v>
                </c:pt>
                <c:pt idx="2">
                  <c:v>355317.13</c:v>
                </c:pt>
                <c:pt idx="3">
                  <c:v>268816.08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55-415E-A7BC-A0E79621A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5970527"/>
        <c:axId val="525969567"/>
      </c:barChart>
      <c:catAx>
        <c:axId val="52597052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969567"/>
        <c:crosses val="autoZero"/>
        <c:auto val="1"/>
        <c:lblAlgn val="ctr"/>
        <c:lblOffset val="100"/>
        <c:noMultiLvlLbl val="0"/>
      </c:catAx>
      <c:valAx>
        <c:axId val="525969567"/>
        <c:scaling>
          <c:orientation val="minMax"/>
        </c:scaling>
        <c:delete val="1"/>
        <c:axPos val="t"/>
        <c:numFmt formatCode="[$$-409]#,##0.00" sourceLinked="1"/>
        <c:majorTickMark val="none"/>
        <c:minorTickMark val="none"/>
        <c:tickLblPos val="nextTo"/>
        <c:crossAx val="525970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000" b="1">
                <a:solidFill>
                  <a:srgbClr val="2E75B6"/>
                </a:solidFill>
              </a:rPr>
              <a:t>Sales</a:t>
            </a:r>
            <a:r>
              <a:rPr lang="en-IN" sz="1000" b="1" baseline="0">
                <a:solidFill>
                  <a:srgbClr val="2E75B6"/>
                </a:solidFill>
              </a:rPr>
              <a:t> by Customer Segment</a:t>
            </a:r>
            <a:endParaRPr lang="en-IN" sz="1000" b="1">
              <a:solidFill>
                <a:srgbClr val="2E75B6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12-45E2-884C-5641D465B19D}"/>
              </c:ext>
            </c:extLst>
          </c:dPt>
          <c:dPt>
            <c:idx val="1"/>
            <c:bubble3D val="0"/>
            <c:spPr>
              <a:solidFill>
                <a:srgbClr val="2E75B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12-45E2-884C-5641D465B19D}"/>
              </c:ext>
            </c:extLst>
          </c:dPt>
          <c:dPt>
            <c:idx val="2"/>
            <c:bubble3D val="0"/>
            <c:spPr>
              <a:solidFill>
                <a:srgbClr val="E37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12-45E2-884C-5641D465B19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sales_by_customer_segment!$A$2:$A$4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sales_by_customer_segment!$D$2:$D$4</c:f>
              <c:numCache>
                <c:formatCode>[$$-409]#,##0.00</c:formatCode>
                <c:ptCount val="3"/>
                <c:pt idx="0">
                  <c:v>835747.94</c:v>
                </c:pt>
                <c:pt idx="1">
                  <c:v>467562.07</c:v>
                </c:pt>
                <c:pt idx="2">
                  <c:v>277657.07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612-45E2-884C-5641D465B1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000" b="1">
                <a:solidFill>
                  <a:srgbClr val="2E75B6"/>
                </a:solidFill>
              </a:rPr>
              <a:t>Sales</a:t>
            </a:r>
            <a:r>
              <a:rPr lang="en-IN" sz="1000" b="1" baseline="0">
                <a:solidFill>
                  <a:srgbClr val="2E75B6"/>
                </a:solidFill>
              </a:rPr>
              <a:t> by Product Category</a:t>
            </a:r>
            <a:endParaRPr lang="en-IN" sz="1000" b="1">
              <a:solidFill>
                <a:srgbClr val="2E75B6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sales_by_category!$B$1</c:f>
              <c:strCache>
                <c:ptCount val="1"/>
                <c:pt idx="0">
                  <c:v>total_sales</c:v>
                </c:pt>
              </c:strCache>
            </c:strRef>
          </c:tx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638-41CB-877C-52A60AE97C5A}"/>
              </c:ext>
            </c:extLst>
          </c:dPt>
          <c:dPt>
            <c:idx val="1"/>
            <c:bubble3D val="0"/>
            <c:spPr>
              <a:solidFill>
                <a:srgbClr val="2E75B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638-41CB-877C-52A60AE97C5A}"/>
              </c:ext>
            </c:extLst>
          </c:dPt>
          <c:dPt>
            <c:idx val="2"/>
            <c:bubble3D val="0"/>
            <c:spPr>
              <a:solidFill>
                <a:srgbClr val="EE8A1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638-41CB-877C-52A60AE97C5A}"/>
              </c:ext>
            </c:extLst>
          </c:dPt>
          <c:dLbls>
            <c:dLbl>
              <c:idx val="0"/>
              <c:layout>
                <c:manualLayout>
                  <c:x val="8.6159844054580895E-2"/>
                  <c:y val="4.166666666666660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38-41CB-877C-52A60AE97C5A}"/>
                </c:ext>
              </c:extLst>
            </c:dLbl>
            <c:dLbl>
              <c:idx val="1"/>
              <c:layout>
                <c:manualLayout>
                  <c:x val="-1.9444444444444545E-2"/>
                  <c:y val="6.9444444444444448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38-41CB-877C-52A60AE97C5A}"/>
                </c:ext>
              </c:extLst>
            </c:dLbl>
            <c:dLbl>
              <c:idx val="2"/>
              <c:layout>
                <c:manualLayout>
                  <c:x val="-7.4999999999999997E-2"/>
                  <c:y val="-1.851851851851856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638-41CB-877C-52A60AE97C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sales_by_category!$A$2:$A$4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sales_by_category!$B$2:$B$4</c:f>
              <c:numCache>
                <c:formatCode>[$$-409]#,##0.00</c:formatCode>
                <c:ptCount val="3"/>
                <c:pt idx="0">
                  <c:v>567474.17000000004</c:v>
                </c:pt>
                <c:pt idx="1">
                  <c:v>535435.01</c:v>
                </c:pt>
                <c:pt idx="2">
                  <c:v>478057.9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38-41CB-877C-52A60AE97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>
                <a:solidFill>
                  <a:srgbClr val="2E75B6"/>
                </a:solidFill>
              </a:rPr>
              <a:t>Average</a:t>
            </a:r>
            <a:r>
              <a:rPr lang="en-US" sz="1000" b="1" baseline="0">
                <a:solidFill>
                  <a:srgbClr val="2E75B6"/>
                </a:solidFill>
              </a:rPr>
              <a:t> Profit by Discount Band</a:t>
            </a:r>
            <a:endParaRPr lang="en-US" sz="1000" b="1">
              <a:solidFill>
                <a:srgbClr val="2E75B6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845793408145022"/>
          <c:y val="0.23622247219097614"/>
          <c:w val="0.84712880250055511"/>
          <c:h val="0.578486689163854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discount_impact!$F$1</c:f>
              <c:strCache>
                <c:ptCount val="1"/>
                <c:pt idx="0">
                  <c:v>average_profit</c:v>
                </c:pt>
              </c:strCache>
            </c:strRef>
          </c:tx>
          <c:spPr>
            <a:solidFill>
              <a:srgbClr val="E37F2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2E75B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87A-45C8-9182-94F4521F8B80}"/>
              </c:ext>
            </c:extLst>
          </c:dPt>
          <c:dPt>
            <c:idx val="1"/>
            <c:invertIfNegative val="0"/>
            <c:bubble3D val="0"/>
            <c:spPr>
              <a:solidFill>
                <a:srgbClr val="2E75B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87A-45C8-9182-94F4521F8B80}"/>
              </c:ext>
            </c:extLst>
          </c:dPt>
          <c:dPt>
            <c:idx val="2"/>
            <c:invertIfNegative val="0"/>
            <c:bubble3D val="0"/>
            <c:spPr>
              <a:solidFill>
                <a:srgbClr val="2E75B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87A-45C8-9182-94F4521F8B80}"/>
              </c:ext>
            </c:extLst>
          </c:dPt>
          <c:cat>
            <c:strRef>
              <c:f>discount_impact!$A$2:$A$8</c:f>
              <c:strCache>
                <c:ptCount val="7"/>
                <c:pt idx="0">
                  <c:v>0% - No Discount</c:v>
                </c:pt>
                <c:pt idx="1">
                  <c:v>1 - 10%</c:v>
                </c:pt>
                <c:pt idx="2">
                  <c:v>11 - 20%</c:v>
                </c:pt>
                <c:pt idx="3">
                  <c:v>21 - 30%</c:v>
                </c:pt>
                <c:pt idx="4">
                  <c:v>31 - 40%</c:v>
                </c:pt>
                <c:pt idx="5">
                  <c:v>41 - 50%</c:v>
                </c:pt>
                <c:pt idx="6">
                  <c:v>Above 50%</c:v>
                </c:pt>
              </c:strCache>
            </c:strRef>
          </c:cat>
          <c:val>
            <c:numRef>
              <c:f>discount_impact!$F$2:$F$8</c:f>
              <c:numCache>
                <c:formatCode>[$$-409]#,##0.00</c:formatCode>
                <c:ptCount val="7"/>
                <c:pt idx="0">
                  <c:v>66.78</c:v>
                </c:pt>
                <c:pt idx="1">
                  <c:v>86.52</c:v>
                </c:pt>
                <c:pt idx="2">
                  <c:v>23.47</c:v>
                </c:pt>
                <c:pt idx="3">
                  <c:v>-40.950000000000003</c:v>
                </c:pt>
                <c:pt idx="4">
                  <c:v>-111.38</c:v>
                </c:pt>
                <c:pt idx="5">
                  <c:v>-276.05</c:v>
                </c:pt>
                <c:pt idx="6">
                  <c:v>-84.99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87A-45C8-9182-94F4521F8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6853647"/>
        <c:axId val="956854607"/>
      </c:barChart>
      <c:catAx>
        <c:axId val="95685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854607"/>
        <c:crosses val="autoZero"/>
        <c:auto val="1"/>
        <c:lblAlgn val="ctr"/>
        <c:lblOffset val="100"/>
        <c:noMultiLvlLbl val="0"/>
      </c:catAx>
      <c:valAx>
        <c:axId val="956854607"/>
        <c:scaling>
          <c:orientation val="minMax"/>
        </c:scaling>
        <c:delete val="0"/>
        <c:axPos val="l"/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85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Top States - Canada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000" b="1" i="0" u="none" strike="noStrike" baseline="0">
              <a:solidFill>
                <a:srgbClr val="2E75B6"/>
              </a:solidFill>
              <a:latin typeface="Calibri" panose="020F0502020204030204"/>
            </a:rPr>
            <a:t>Top States - Canada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regionMap" uniqueId="{F2DE99D9-42D5-4A3A-8590-9EF1B389BE4C}">
          <cx:dataId val="0"/>
          <cx:layoutPr>
            <cx:geography cultureLanguage="en-US" cultureRegion="GB" attribution="Powered by Bing">
              <cx:geoCache provider="{E9337A44-BEBE-4D9F-B70C-5C5E7DAFC167}">
                <cx:binary>1Htpc924kuVfcfjz0EVsBPHiVUc0eRdJV5slef2CkCWZBAECJACuv37ySlXVZT+/6uqZmogph31t
X24JZObJkyepfz7M/3gwT/f+1dwaG/7xMP/8uo6x+8dPP4WH+qm9D29a9eBdcF/jmwfX/uS+flUP
Tz89+vtJ2eonnCL600N97+PT/Po//gl3q57cuXu4j8rZt8OTX26ewmBi+INjPzz06v6xVXajQvTq
IaKfX/+n+fLk4/3rV082qrjcLd3Tz6+/Oen1q5++v9W/PPaVAcvi8AjXMvYGZYKknKfi+Vf++pVx
tvrlcIIQfcMQ4oKl9NenXt63cOWfMOXZkPvHR/8UAizl+e/fXfiN3fB98frVgxtsPG5XBTv38+vy
3t4/wmpVcOXLkdIdrS7/83mZP3270//xz+++gIV/983vnPH9Lv13h/7FF1c23nvlft2Vv8AX6ZuU
04xxStPnX+RbX+TsTY5zThhhL8fxr89+8cifMOjHHvntwu88cnX59/IIuPDL08Ovm/IXOIS8SVOa
Y0F/SQ7xrUN4+obznCKUZy/JA8dfEvPFIf+9PT/2x6/XfeeOt+Xfyx2FV1GF+lXpzNB+UX8lagEo
ZZh96w2EActQxhjF2bd++J8Y8mOP/OsdvvNN8TfzzcW9VdF9+Wt9AnWEMf69XwR/QwlKU07EC2yB
336fJX/GlB975b+u/M4bF3+zUnL5NH2F+vZo7u3jq+Of8/sv/v7R+V936i/AMvwmQzkRAGbfpk2W
vsEEUZFz9BsD+L17/o9s+7G//uBW3znw8vzvBXXXXtmHp1fbx+neP746DUdH/nW+o9kbigTUfZr/
Vmd+T9IyqFOYwm/BfujC/6l1P/bej+/yneOut38vx1268f7V7YOLf2V5ogx4A0FZhl8AL/2OyIG/
sjQ75hv/NUheCMOftObH/vnm4u/ccnn7N3PL0/Sq8IMNk3rQv+7R/z0IQiIxgUgmMvLime8dk71B
PCcZz34hfN+VKgCwP2fWv/HQt5d/76O/WdG6vQ/6PkJ/PN3bv85FjALWZQJz8ksThL4tVyiFLkik
OX3mf78vVH/Wnh/75turv3PN7eH/7/T5N23zy+68pM03p/wPRYIMv2HA3vIs/a/G8/f1R2SAZzlK
c/YL4H3XmP7axv97e37sk1+v+8b2/9eqwL9XDH7TUTb38X77LMD8TjT446PPCwRV6LtL/0jHedmt
08efX2OCj+rLb8LO8SbfUOg/IFb/cpen+xB/fp0w4IOYcpEiAT1TSgTk2fT0fCjjb/Ljd4wSjDAk
G7RT1vlY//wayCLhGPAxp4JkDBMwK7jheAiwFVATQ4wwSE8M9e83KezamaVy9rcd+uX/r+zQXjtl
Y/j5NRTC7uWs44IZSREDMoPTnFAqKM1Aluoe7m9AbYOT0f+yyzDKwa3sdBnRkJdNbdKxCIiYeiMl
T1ThI0N3UxL8Ap3Zbzv3gydDz/7tkzETXCDBYHdgGTms8PdPrtcRz2hB/jTLmEWnsB3e7X2GbF8u
9cKLnDI+F7zqElYGQvDXKfTRALb/kRE4FVCKvrEDRAUKCwddDu6IBIec+r0dxvW5Fx1D+4ysY1Pq
ZoRPJ33FNxYue+tsmjRlAIHiHI9j1RSOt60sal9bWSREM1V6IViE7lzVJ+lMm6uubhddtmtEai5k
Ptu2jLZHuGiN5tPZuJD8ZiUKrq8144Mr6r4hShVTTIy8QTOaHkiCuk/YoSC3Oe5VV+BZxceZDGQo
2zSuaFOxGj67NLF6B0IjArdVUfqttoP2G68b4zdNJRZ1iRLVflgGVpmTBuWaXLUi5qekS9tKFVki
0Z0ZVBoOtW5JVySN79VOGKXZ2SrqYXgvswRs99bAOWuSz+4UVE14Uohmdad6XFT72LcW7/pE0fGa
Tn2Gysx5h8qBUn0Qre8GW748ZHQEVpNOgsb7yjXxsTXVqD9EqeVTzTNWby1t6i/ETENVjjTkX2gM
et4tdiKknGgSHoemTeDprOlDERLS5eWa8vyyraa10DmV9ZatNOCNpoabEmVj9wk5g+8i74Xfpq5C
3ZngGW13LRpHVTBs6MdmoTwtZuzrsMnm2rzXYg2xiCKr0sPY6TXbBMl6tunEVN/k0KFPm5nivi1S
hRd3ijID62rjUPWFaXTotkboFrJomrpPg3awg2Khk9/ptRrUoe57Qc6X3Km6EGmrz5FPDbohicPZ
fmJNboohYLfNmsmcc+nStpyStaGHzi7LhxdPK+b7cZPQHsdikLpTxfj8nDxv4SayqutwXaEMkzOn
qO0L2+WIFusAFt3oqZdTEZQTtlilyKsybY9xCjjG5UGJCAAQpCfTFYnLqrciUjoUyDEvioFKzQrm
R1geSwzRupg6N6NCV8LWd0urWjhpHPsPKIqp2taJmOWumqZxOZFMJ0uBWRQfB0MtLxaFW719QZyo
EwirBGlOtulcz/M5GdiiPwxTAHOSlWdkO4wEzMwrDqHnFAK0cnzBQ0lcDulgo8CkDANahSs1yyFk
qnyEU2fmgr1deOjDfs7EKHc8SQHe3Nim3Vk/mmy8UT3uhv3CM/6AUabXjYlz0/dFxuu2sbsBHOrO
VZPV/Lxq0jEp48Sjf9v0vJIfhByr+V3ubad3c6XH7qTxCiKC5S6bdFm1qOtZ4TQ0M6VNu2QoWix7
fDUQktizLJiVlnpaCNrHtCEQLG3u9C6nYdIfFtERemJTVouib7p8LWvawZYaXA1Tqbk2d3VTATJU
WLRtyRZb+a1NyKC2SUx5V2qNq7DJpc7tHbjEt4XJRaXexq5l+CSuRuBDTGXaF2lfwWPb3MOWQtLC
VptmwuI8t52l90uEqL3ruyQkt8/Ja9ZY9WmhexbxVaMZRMSQAQAUQzp7skfZLESpxzScoxk8Xy4A
aKQ0fOjvieKV2OK19XY7L0iRz9IwmW4W6Wm1XUk2JRsWIjjYcK3bO9lUMynrVeJ5H2qXxfs8W0LY
6FVAedkq6DVckdt5oBeG4kgvmnHp8o8dSXTaFHR1bj3kuiZ1wZtJuVLqVtDTJc8hItpVt36DBwNA
Q/vWjKyAjIcDYlniowYcn0Th25bRt3asjmlCDYSNagaoB22wbDz0MYquGKHohQMZRzDbNx4QPvpZ
yg+j87k8pF4LeQjPUc50BddK1cFG98kMAZnGcR0L+N5fa1Gn9hdfQPPbfVoRg5rTeF93hTZ1fJQv
BmROZGfGEtmlRaSura9W0sbHPGEQ+Y2VXdgbCNt5Z7WLjyxxa7gUGQb4bHwFBaIOVL7n1SxMIcdB
N5uKjiSc1nnSjuXag2RfTKaGBePOQlxonkO1GZoo5AfUjPA9avHUnbykYD+O+WZuJGSgiyGZ3hnb
x8dqFGA09y3EJ1+COJ/SGB7bjoShGIM0fQlKc4oLhXqwmSVxEFdTQHDvQRwr2VINiJTjQMClvWqW
ajsOCWTuLAHB3ikS4cyWYjXv9PFxsl/MeDZC4PmtZMZXZQ4UrCvTWqqxRDntPuVDBTDjQt596qyB
XZBGgXEvFUYIDze33Rofh3EF2Jn4kALCdbxpP3bJYuPbIbcQ7WgYw/yZ8w5VJ9Naz9WhU9bWm6Vu
j1gvY2VoMYc8p6cWKnX/BVkSUF3yuoH6w2zAdxLJZZQFSesV5nI6Xfw26g7pHWkmMKIHrbfeZWxh
STGFBXY+eA975KJYu7NlyI4kLVuW/ovhdYo2gZqpfy9XBe5leIVdXxiCTyhJ0peN6Tp2YmU/yN0q
gRSdNs3s7S0bEMZ9UecNvjsiXTYXSdZk9OTZe1E2sFcoxbg7C/2I8FYhllWbpMoTscuolXJ3ZGcA
wGllZoA+BxtapVB1SolzsNNFM7iq7MICaMiXJcFrmfQmPlJeQ918yZWVHreuZbFn+0FMbiq8Dms4
uElBYraLg2Vb6SAH9HOYuHmGfNJMGFwEnWJgUu0EOUdah3GR5guEDEojYLFtKrhzZAMctesIm/gc
hKLVYDNzLoXaIHvIsHQgaGNwFvGR4QE09MyrdSp0axu/GUmf1Fdo1KTaUOLH7qxbMNysmeKMNjMy
EEDC5eGxyq3XT5VmcPsp05KeUtLAyl9IVKYwhGs9ke5TPSaiu+oVstmOVQP4W+FkAUZXI6ovDAbW
Vsg4JuQOA0cDPD+GpBmB+lxrcjzdZn6G1DuGsW8hrLNnnuiJdm25UATVc5hyqEnEG3D5GDBckzMB
lUkkdRW2LJsNODvOOcQR5VDy9j4iKL0vEBfmbOjfc47AeFbNfCxmL/PpPOcWnGGWhdNTXAeAQSOP
oItUNuCrnsmxfz+ZpPtU9RUgqHcLhEKbZEcbWASc63DdqrcMtRRtw2Bpf1bXOdAEPWh41IuFdYvB
15k6FnCXVWNym2UOokWiep3P1UKleYThetKdaNhu/Glcqmm4N8nYTOc8VGShZdatRB66LgdseQHY
WiTNuusoatGJSEcb9jx406hCsLZNTltO6+wjTSQ44YU0NKYl6UWsmjFuX7zIVkKy01F17DqBK9Vu
BjbYFWbOmracx2aoiyGhsDpNa1YCJQRE58rYvOjRWqlNFRQAWMOjhphM5TGBUzz0m6St6Ds5DfgM
YW3IPR2bBXosnskDBE7dl0aOWgClaPk77+pmKH1Kbbv3lRXnI3BeCHSOsCvaBIKjtI6H5sREwd5h
zdFUxCpnW074DOmOm66knVxREVqr501llyP65TTN9oFQgHmKlDWHDJlYFZQF8Epqh1l/4DzzYZ9a
7efPa5VGeyvICIQD1wNkY8cryLG4rrDml3olDfQzhZ9miLwV2KUEutXU8ZDzLPH7kI8QDTldGQUy
ufRxyyJVvJhEPpMCU5dIgKKeTg3U2KwBu6p1WsLlXGUBfXrJJHkEkoWvUT8JSSAfdQZt9T4NaUbO
6lFV+WblKE4FDeDGArqqPAOyhYUsIPCAhP1Swmldy8K4BFVfNO5mVbZxgqXioKXdEdqROytJz8oI
UvNchh6N+aHTszmJae/rslYSFg38ChY6dJmuy4F5HYHEVTPUq7Q7BjNLW+CSsVb84FC7Xqspws6O
aQaxHzuY8JY52AtdVNvL69g0AhV5quip64FSnc5tq0nZoZy5olutgaYRN0ID6HP2PlEdMK+EABKX
ydTCbV/ocGvdBDWVLEAoXx7HUw9VD16EwVcz0bD/FCq7LFhAkJ+MJcCw7TCqPZsVYA7uckzfQocM
X+MWRIl9ilZwcsAW4A2QIedFlZNZnIzrAGCUNBIWkzOoE0Vs3bEOTdCzln2QECZ1Kqj8LAaKMSqA
FdTrvvMDHIhMu2RH2ir0F31oqqqILNbtdRUIN8BVqRBV0XXjJEvEcjCd1seVAqzWbK+sAvbCxjlx
BZ/z+V3sU7UfpwowSWYO4JYO3bRcgj/6ecvDiPdVUzF1tTLXu5NM9HCK8QF4QbZC6scsWeqCLXk1
FnSotCuW5riejBmg4qSZoc1YcXT9iYtQOoG32Jjc6sH723owKf4ISs+4lh3n5CKIJWFnhHXQUzU9
AThM87r7pHBP0qskB+x4xFkARBAsg0fztAbX6aXqP6Hs2L/PGbA2CBanzvGsZ36I4yhQGeqQVxdh
Vc28GxvcfXLPxZWNIObsagXFuuhnMdIiQaOyJ0hU2V3Hw1rvVlujabPoJI3buHhwrqrZfP3CXIDP
4anEsXHZLiwSOqIENCG3Yasw3b7WEaKYrSNwsgEaIugt0xYUgZfGR04JxMWU22U+T6YaIP+l5CKw
22+cT4EJtGwBwNOZh08760hv88bU4zsxM4g1UzngGJ4+Z9IzQ3v599J3wJcqLQahijRZAPl55+Fh
gxhHeiGEAa7S6Cz321kliwLVJm3w1qRJQvfKVwxv4tpDWGbPRbYeFGws3BIqoPUWkrxtjlVJcwoU
kg4REtaQxozvFrlkS9kOhi9ApHL4XiiWyA+dnUGasYt2D3myQvBkrQfE6BymCzQJUIk5agbo69d8
jo9d7iW5i1DIFQBMDxg7ZEqcv3BIeEXJik23thPfaggTViAj6oeUVzE/A6VQ7QcugIqk+qjA1Ibz
8WZ+5pdz11ANzfPSzcX03PVjiofuxPr0uPcyAc4/rKkdt9KjfLmoR0LHm4420NxnBoVSVWvyJJsE
+gccW9jObgb5BmStDvwVIM3INkwLxDqZMCy9Q23lSqSJkhvLDQUpRjaWn3dsdaEY1Yh3wQALAiGi
ak6tb02663uQXk54XaczhG9D4oYGkflNpH1qS6/aft/yJFwusp8OrUwz6JnWydqtiW0eCrokwFol
aHa7ORpysqq2e9/iEcUywTE9b2mlLgm3NimhtCz3vQKqVuRq5WkppVweh2FF5Rx9exr61YaNgSCN
ZRN5PK8JYbYAaREdKmrYp57weAHF4TBakGM3Qvr5fppQWp3KtFV7kQ59qdS0Vmd5mq973SJ7ZoNM
y2yYa7sBAl1fgkrT3o+I9F+hQolSIo7PYDyWl15XUOdxvxY9aIxZoTuZb0XdAEgIhJsicaIFJQvu
V0oz44NGtbqYAV0KVLX5rQCt9h1NluHQscbv8jrtoaTwHriWJtB7B76c08DFPW17VyQxMl9yFbHZ
2mBXW7jJ1xxEDA7YkgdYDQg3oS5Bn9EXs6zsAfeN7Atie7XeITK7Q7rg3p/2WNK0yHPWbSIK9IQn
KAMeq2QCuQdtzUU+inDbABSd9RDuGkiFbc6TMdwkeNDZicqgKcWyxV2h+ny6X2mUp17zehvsgvDp
UI0TlDiyJiVu+TwXWavqx6OQNG+MSdyeTYO6TGY3FzYd6nMifFPSWo3LBjtHAN1Cww+JX9k+1UMf
i9T7goyVYwVQ4HCNRzEfQH6JwFY7VV/EBudJwTJZnXECObDN5wA6lc8/8kQnn0CuDX4HsISTbdYh
snd6tCUQ0OodZP+w4RRxDfWnN+Rcg3JzAwKuvZrqyV/hNsz1vsI5gZI/LpCYqVZic1QVAO4Wfckw
I8Dv+dQexpaLj3pE1fsqVOlH3KdTcyZ0k15h0AV0EbVMb/OcT7ukz81w3uRcZDsNSDntoJUnWUH7
vDsMsu9xAVt1a5ZZfxQBuPIe1uZTgH6/XEJpXN4inHS6EJ1vrqdUTRaapBnij2mJGlBOu+GrGj3e
5zXroBqkRhTwguzwrh/mCLR14vZRjRmoZo36TCLxu1Y1si66JeJ7NdbkQjqxghzQ0ex+Atl1Khep
Yrr3EKFnyLjpfY3T8MRklh1cheXZGpd3fhhz0EmrkfINvNc2QmfYMsvKukvqQ4RW5fMw2mrZONjv
t6Asp9WGUWNVWaVA2gZ47eZWZmt7MvbtbAq0kkSVIO1ou21A0rpPmnw4Je3SmC0H9Xzr4AVYXlpe
kbtazcZtxyZ3b0OoXLqZQTH53GEBGEfmsBTQqXhU0Gn8RLhwT6aa+JFhC3PGZRw+Bl+3l0Ob2YvU
VuQxk6C7lSDyTHfTAACG1jVmRdYTF8qkoVyWXd3U81tHswfa9NPl6ttAgBICc90R6JVOG+tiW8y9
7fwe6kh/g4Olh1Zw81Y0bfU+0RWCbjjONyLR9QXUhHANTEleGo/idZKn3hT1WOP3lBEEVBYpPO5z
O00nE1mar02Kutsm97zM24FBzLqp22aEQBhUaj7IqTs2Bj08pciaptFFAMX+HqZE0M/2w8c6WdxS
usRMn7tmrsW2lmR9h0HO8kXStX0DluegJLoWJL7aJuE8H1O1dcR3p1UMA7Q80JK0J5IDL9m2QL0R
SJ5IXBOux1ul9OwLDirhHhy07lu3giKs+/DWQL24w0kNTLoW5nPbK8inySw5K1ovQFPhAk4rkmTh
twy0NVdYmDqspcpZdpWTsJZL0rLTVTqzW2boCbYDLO8ur1XyMRv02Zpm7Zkx+QzVyDdtsVLG7pDM
+0NmNLlb6ZJfdEnlzj3vyLBVOVc3qurEHXT27MnPmdpbkc6gJcrmyyCBdbIG30AAjl9hOGOKMHKr
y4aF9UBna++amdb3KqHRnOmWAoIKyJWmaJKsvQxA04tuIv1udll7AbuDS4+yfCj6ifhhGzi0KIQn
9AH7FCYNBsYAcyt9vzECEC1t0vYrAx70qNnsPpFkWpYSmvosbBQasSqzVQdTENFOSwHtvLviY02H
U+PcMt/YDvflGAdzB/2N3zdpBflf11PciK6Ot6jvxNu0SuT7qjcTDIpwXPeRyLYvs7qDcVOVtSkE
fD6zqmh0unpgSd34WQat73SnU5gdyrS5nFzu3wtQcKYTzusECs00v5djOruNq2GgVoh6bUgBL9Wt
GNoF40yZLDGAEop9hLORq9+iJu8vxyXoq7y3Zwu06HSfOp6rzRow+5J0DZAEUDAQOqHHLYV5n9Gl
4KkVxQpR+RhN4GoH48+l21rZoq9ViuonbbpY7xY9CBAG2VSVU378KQGP0XUwxJ+4TqKzeajNzUCJ
ua9BHL3mINJe+LYzBwypeUgNbqey7Rf7NY9t2EU/qQsFA7BTPNbJlZ/k/BGUFXZR97zWheas+7ja
keUFDA39QWGNusKBUPIOBAN5Quq8+khHl55KwvpwBW1BB2rZGjas6fylHL1NQb+WzfuVT4adaRS7
jeC2OYxkJGuJYF78McCLN8M2gjp+M80iPww0DhsY6wFFWyFqT2jM+/kmCLZsmBsXX+iM5VsYL+Fw
yKAz72EiVY0eCsnAr/IaNLA4c7kRpPJFBj3mcZoRhk10A8joDvtwlqlpulk8DMJKvaj7hENEw1uq
jSgob1K9x25d3+XKo6uEuJ3PB74JazYDb2v8FagGoGwyHE/CWrWXHfQHELgzzNFk4tm2qm23YwnU
niIlVVbgYUGX3MT+oEcHtSkOe9fOGSiD0X3NGl3fDYqac+W6pTSik49cNcFuSaWz21jVMivRusQP
rY3oomO83TagJl8kMiY3ArsUcr2fdn3Thu1Qk6wklWW7DoZsByKV3cP8qkyqOKuTPkl9UcHwp2z8
nJxO0F7u4gz88cIkoAYDn1r5AxkmsbNT188bNJAFWk9qyTW3FMpNpcYWFc0Mw/bStIsYN+CYsRhr
z6dy7mPXF6NrxjvuQic2jClRsor6vcYIVHEOI/JsIvllDlRInzQ81CcAxT7bVNCKP2mU869rIoCn
D9R+gWHHeFLJIN8mGVSpWkxyZ1vlIigvJl43guanxlqeQ1Yr8QmUKZ4UrUT0zE0yjwWqJfQMfdXp
j0m3NqYUVYJLBz/MYkBIqfxJjVesC9av5LSGjrqwHvfvlMRAOioOgtWmgZhkRTASlOKmg76NjvNp
08LMoXSVtB+6vpUXM2jIO9PzyxkmmKxI2xZ/4MTMdxHBjHSXLZk15dqsE3Ts6TCRAoqdO4chnNmQ
rv3YJ5yeDG5Zr0ach099yJZT6C2gqxRy2XXgrGKSqfm8jKn9Olkyb9SgfFk5lB0oCum+Sya1hUQb
snKKVcWLpkrCOw282hSeGHI1w+zrfZ/S4dyAWn+Z552CPMF2bjZBVbG/mJfafnK4Sh/6JkRUAu5n
Q9H11nOQtMYbH2l9Qyug5OVYIb/vQAQbb+qZXa9THuqiHzAu86nt3vlRf+GQBs27FGYPrilUhuSu
0X0GZxkEGoWagLxs2Biq28bz+na0Ip6uIYM3EoTCsiqMh7bzUoORNwty/okHtOcTdSegWSwwlo1E
7wcT18tWM5hN5goEFnhBNgXbUJqchMAhW2Qq2c04dtNppru4FAQvfJ8C93nXu4Uf1aq129MxASRP
I8sK0072+JJEYuuSeCVhwJ91c6kTjbZLWzdk04Qu/eBHDwqOp8lDg/ssfloyk57Zlo6xBNDL+s2w
Alu3GeY3fDX4/ZQYfY9zZpZCoMHv0iaZZqB3zUWd9aGcoJTPp0AbTmev2+ra9X3y0PVZw68y2ecf
jI7o0ogpcZfMd5RuIuYAbNM6kVOHyLqroGSAvjcQD3Ndz9iwZcB6rqGGqM9hUG3JQdU5Tbs+OYXd
D9duHFoH04j/zd6ZNceNY9v6v9x3dpAACIIv94FkDpolS7ItvyCsweA8gSRA/PqzmFnd5XKd4z59
n29ERYWrLCkzSRDYe61vbbnyDSZh0O1LUrQXZJR5lcEyK71sKGR0W0nPfKGDkt8jW8Ucezmkmltv
aYYvXWyjIoNdhsK5t81dHtDy++BWHKTDWkYfYl69FMTIdIE/VD9aO9TJ0gfoydaic49ttOmMRAuc
LUTXflqrfjnMYdnuYMoXmwE8wl8PIn+KMlsP66EsyuqpnAOeKqgHN0Nelfc6zNdEkprfwWTXURIa
+VUIT7zEHQUgUKt1Iai6+/m19quhzAjquHfsQCwRQZC/dQyRhEwOY3lwROSvoFGK2wjCKjwsPQ/J
WqFQmFTRY7vjeZf5K7CBbIn79rsrw/GFGygBTRSR25ZM/KHC6tvnQ109KOzrqQrHYN4HeGRSGZL+
yJS0l+iHYpjB4BTSQfi1gmFM5JNHhLidcxSe6HEjeV+vzXLhdwzNrNP6AtodS2Lo15/ZsgZmuw0F
aoB4/lov/V1dV0Ox61m3XGCxuq9uGcyrhHv6Sco+ui69qWt2xRLSq75rA7PHqasfR7SLeSKWaHoJ
m7j4AOc0/JDttMIdtoufNGs+vrtBTSlwc/KaM+p/EuXC8Gp5l6OEDviI8tuv+5SYUN0Gczmkoyuh
bnpj98iBSzwPYSweYPoVj9h/nydIZgoCh0e2g4bcdr4cDfr4fLmRU2h35WS+enM9zzgYghglYO1f
oUzunoO27DLFaxJmutM1z6z2JU3g4K0sIUHekZ0K+aXOleAJhem7L1Db6MTiBO8yMy7ilVDzDHou
f2M0ZEESFN5yjJmHTZoxYy/DKnf7Yp1QTlVNnV/xcVn3IckPEWr4I5SNJlV5p6s0GuMGviFf1itO
lokcYKX0UFHkSFCvVfcGoEKVap5PX+M2bp4CP7YdjseuItkYLxFP43r9Xne5zq85gcg0q0gyHGge
H/Zswaco4e/cMN/zm2xQTf1Q1sMUJBFr6gkugGdReYHOeJQ0YjvUPeuLtmw9NuAnxsybc2JRMUbT
rR7G9aKoC/PsRdOEQ35ay7c2yL9Hc90URzsJYdDRR+rBH0J3O5AYqsgaR4du7TVkBrBRGWSHZ6L6
LhmqRhyjlmBVhH0+pznPfQFJRkFXUCaOstX189U0lPGbLDz7UEPDvBaDtO0V9I+mTiK32u5QW8Y5
IDKrX0Ph4pStA1wilFQaxUTPbnOp6Q8eKCguZo3l24jrep97TXdXrvH8TXNUcR425st4mVSboGlo
VOJgsr0yVvAXWANRlZRDXewm263VAxpWiH42L/WBgWB8Vr1vm92woENszdxcwX2V6FG4RBlh8/kz
miB9TSbvWMyo4+qBobuCYX6tYm9Oa7Pot0Y5cZh1La4B0NhHsB/kWbiZPqyVeBUk9LNQoYzT83wL
p6hLIdBKnYRhfl9Cymh2IPu8m7VAIdoJmV8soXwnUdGmTM40HWivnuC1N9/caNxHpFj8KVBdnA7+
lF+sEl30vhuwx4n4s8Wh8ZWOwzzdVq6EbEZcd99WRu2tNU9VG6+XnuqnA0MpVCaGjNWaNEUt7+e4
ZC7xQy4uqwn1JLYbur420aiWzDCqmkyOY5fMZom+LosLvzkxhgA9lqbMOjrI6xbc2vPAyArVfQQi
UROW+MyrHqCXqeslzOn72m0tIGpTl7l5lp9mw8ML33giZbzlXyriL5dEtGWQoGbTd4Ue2HUVN/19
aPKnIJTxV1Q9sKls0e7iOWDX2L/hbfd+CQ6kvVUQQ2m6zj3UjcaEqD7XmBdHkB/LZeUo2JBi1d9A
aMhL7bdBn9mOWHjKgRXfqArNnshKhRDVAoo+CRZJCiat2K9FXe/noJ9IunBS3dV+FN3Uy1yjnNCV
3jkEv29CVwxPgwbWCGHtpuI47vvam77IMn4JNMlvuRJwHQPXo91dyIxO1vYwThvp2XYPXKWoshgX
4amdVZ8EUGhTG6J7seswpi6OyweqzLqTEYDNvRcH9Zc+jvARe0/6NxRq5wUZjKnTqBs1h0xKhlvS
06pOzAA8S/ZqvBYqjgBCNZIeJrOai5ZJyPtSd4cFutiSNEET54nFM/xinfTeazIvXzrISujuxNzd
WNNUaTG6Yb8KSHXJMEz0g5EK9TFxKsxMs8yX81Qw2Ad1oCDrF+GuzUfzrRxmdoiXur5x9coLwIey
XQ4MNvd+sXWFGrc1ePTW4RnWMKy3XPPhKOzQ3YllakhqAjhuPi8kg5U0qDH1WvTaTeBmB5OAWKhs
gl4tkdZjUpoufy6mht8Y1ONXBGTGQ8kL9rjkPRrJMairx7rEFzYKgstVNcbDvapbUh1nHs63bsjJ
c8Coh7faFlfW97o21dNUYYfjLgfo1pdfIFdgl25KeYf92cdihRZV1a696rnxXrQ/lJc+cIE+yY2J
LrAoq8OiB90lfhRPx17781GqVaVMWB+rtvdRm+t3VpVhi9ogL1Ixc3NUCmBNYsW4QgQqaQDNYAEU
lJS973a918unJhiDHyUEw2wWeFR6KMMZGwd6ZHFv7v3Ct0d4X2gn4jDvobKPl9MwDje6D2e9h6BY
17uqKwaTNL6R76MGsQucrL/g4/S1jwqagWYtpnSigQSoKxd2lHIK8p3jYZ6iEqYjdolcmmPJp+BB
LMT96LyefDQgVL/NHmE/ui6XKbZrF173/uiAGMVcpnk8r3eurt0jWW0Erbrdep48hkEMf3Ho1Gfr
/KJOSE/gusbtyg+d9PhuHMai3gFq6llG9OIdwNctcItoJa4Fmz0/hYrdoY1HFf8iJ5zDCRzVFR9g
9o/O9RLadYvCNysXLOirkJDpEZm4cudD4OEJTqyDG71lh84y3tVAyyGazuIG4sWAnjYNG4To2u62
WZr6psAxll/0sm4bP2sqF9jD7xHuAAD9XwBuwpAKR51JIoT2uU9B0f8McJd9Di0h7OyhlpF58+q4
+zKtMb0PeetFydKEOFUoqSxDWU36F8mtc0fAG12YGstBh/z+/fzKtRMWcdS/YNtDCor417cjqMGW
XrZQJdaSfoL4HvU7UZXBbSiMYelE9HipggBL1rTD+H0IdfPt9++A+H+7ImBUKUUFjqMMks8vaH3Z
1rJW1Tgdao9aoFSlrXZucN6LD2gsawuhLtDfuwPE8zwH7R+sn1ecBPdT4ZU7CDr+Q91t0PvSt1Xi
hdN6VYIjf1uXqr9pylCWaZCv7qqqbeCOv3/vwYbb/xxIIADpMQgjDjEpI2Ak+uVueh7In84SfajK
CR4q7eA17huAk9fobOIHBlT3vnYx/cCxEB9amEo30drJQ2MGIXZqHeY++/1b+tsNjZAMoD6JhU9h
C/4aEABMrdEKBWiVRxGQpMxHz0tgkNn9ib3qogWQC5F6tCj8nW6TE/L9+/dAthzGXy9LDIwVQyli
KhAJYb/kNIwSgNF0Xh10ETXL3tfMHTtH+CPY6uqS0sryPZx7UyYEHT48xbaHM6whELtsnQx/qcYu
+h6G5R3sbjqlhTXzBdIZNEh67uYMLDcs17Cdv/A+BttR+wztZiUV7JWonvM3jzLYDVNR63CvomWF
tVeQ+BZHibj7/WcN/nbBY2RbGKWMo6rEE/3L8oVjD/eDzdH+jBAINm3MGoAEYJit9YOnzmNAEQrJ
N8eeTkDfNm/jGIsgZEfQuHDAF90G+mqMxYYFxBX4CzohrHETjNC6LhSf68fcb6gGrrkRTP/mE8DF
/fV+xcEWPY0og+snIvHL/YK4UeeDhCs+FaH8BgtjchfCteOSFPMCdTa3rX6aGx3/QL/UP8IfbOWl
pQ6oIQwiwDxU5JWB3Ygeyp+78hrQbPcSEJ43F7DYGYDNEd7YG7UrZAiNiuQjMB1sfJjLBjTXoAiQ
odwumQIniobN5npICiRPVnQfrRRZNHb0Hh2G+FEo4h2rsQ3QK+ce7nFboGVh8XSNXAutMz3rcE2q
0r2yoRsuLSxNndQkp2QnWWQ/6EA+KnT73R/xoUEi1mHXEXr3jLJFo7yFTvOAPBEg2LGB76LsFQjE
+K4thVNwdxYxVl80ggBlVpWr396Hs5rey3kGaCFm+NbwEPHorX1IgTMNFT6ngMnXXbgx2ADoYQWE
Ny4zQP8+33I1xHP4egqJRe67pcbiWKocwGKY56BFgDYB19Je7vHLJirzErweYMzkDBZTEa/+Yaj7
oc5Y2bibvlvctS1tmCc15V2UuRDGThqjYGmymUWXQ2SU27MRJmTVzO2hLRzzIMtPoK1x4k3DZxhq
W1inLbA0h0Fv24iRDHUEa3xS3fjdxq6thYelWHoR3tyZLRIrwwcDxZN/CLi4OskpGr/EMKBn6Rm5
wg/DTwt7DhYoDKr+JZQWVSDIO/3udxx4ysq2lAQWHABPZWALZED8rb9H7YwrFecEV3B2NdaclNvX
b0Wj2vlQPV9QBHL2AAKg7N6aAtEbi0SQvo/bKtC3J2K4qG3UNTgkQPHBdtziSZUq8f1nanM8RZK8
GJpAFukV2Mg80ODJtqybEz+vm+Ug8VCoKemL2niPrVkB6IHjwbGMJgPvWxfIzR2c6QE4twZ87oHm
sDL3qrFBjDRL0AXv8LCAq7QG2aYLAPG+vGmKIbqw2ErNMaZT4VI58kllPg/mt2b2a4i+0vnHXjZP
a16Lm2peqyobCHSF+5qKed71NOTdHkgg4iq4m969KnVtD1at+YGCrkA1oU14x60EaUNnLq6lRMbI
aCaKRAEkU7v29CDDp8FlLhAG8g85rL5LfCz3EI5sdEkfOUpSryrBNhrYhGRcwIwiotPUQ+bnKNsy
inDJtwoIVnDonQOh0wwGYDQcpxDrRpa4+YvwTb4jZl26BHccnCMOwTJZm9UgTaKwZi681s/hdAyj
rqvEKqWmbKgJwQInY/zQ0O3sHEMLxTseIk3u1naj4k4w0zlPphcDJsCCaJ4zZAYXwIqLA53aN2Cc
YLWweasByQgfqjCHbqF4XzAM0cbWqh5AhmnA2Jlutoe5Wb2Of7ItZDsJMufy/J7xRrDuffwlnF+i
8SlQXWLZxCue6LTlk1dcjr5aPyOVM3UHsi4IN/BTrED0gX7vQ42WyJgmPAbh6nYD1O+3DrmLpGrF
+B3CrbOpE35EM78fh34vOMOOcEa45mXsqoMnqqo7xGExfIqagMpd2Tr3vSywBR14FXJ4A7M/650J
RskvF6xARPoq1nztxFqwTDRQzZN6CKJ9WxcDDJQNOUhmNw5p7LymzsCK+uNuDDz73jAx45ieSnoZ
gRxSWd1W65I2gJ2Hz8DKhhjfs/LbZqXDQ6CH7mJs8v7Ww+IdEh9ps/uIqAC+CiCmEbBdrt87ueTP
w7TEICp7j176Ni7zS3YiOZH8wqpZBcV+cmbLixnPdcoL4LlHn6zFDaBp8zHjGOAZaEbppcVser2T
tJJ14lvA5BexGyOSeLOkF+PKcaMmn1po7T3uqu93HTvCodH9nTf2XrNrFJn9JzauFrs4Ov0rGnis
S0rRr3jHqJSQypga3OjTT8lnD9B+BBEAyLeqUIP4Tkz64DqmlywopITCiWPymuSjaLIWZAd4pvMp
QDh2nCnPN2SSaOwa7WkBrqcsyjmAwrkpDsJEFbaFnt6a3O/yO0VLaAMlYXW+O5GxYzcWsEhG8CbG
U/wBrMp8EwYjiLHKyavV+fr9dLyRXkbIhkAxG8A55Nhxp6UgONG50inCXF7KgxXS7mRg+pDYYWOf
69KHGV+R+qGOWX9foPz5fE5uxjhAdAovli8Qq4iUO1ezxlw04MzgKsLMAYs7Nng+AgpI5HGp0OE+
wspHdYcdACiNiOouO59fKxDHQz0y8UO7SYAXgl52BTnZO7Yzgd5A8jLK5lrpHyNpw6PeiMWhmbBJ
qal19c4r6qpIeoC2IMjygKwJYgmsznwCKQBiNgQi1N7+53Ay3Yd0cYhQ2lqZV1v4MA2J9MGWmlOo
IIpG/q1FpdSB/VXNdyz/JZ2GqH6GMCb11YzsQwwWQzW7HGjk/ameJjiPqz30Tq9Jtc+CA5Bi+gUs
VHkPuZkj3GnK+LpCIKNL0Ncv31i0Nl5WDWp+Q0koi4RyZt1+gDyMyBRvQMMuUVPF2H0ohwYDC7d4
aIxB+VD3nF7gtqCaFKd9bwKFgNWzhaVMNwdPYB+j76KBWrrLg3VLp52CWKIesT6xjJdva4Een3k+
sJomniOZNAtrg7cAFFh3BOrSIgoL6q+/RNxxAX5DcDiNYfVJEzfZJBDj8iBiCbxwsvn2KMDEISmt
Zvt19BQUG49Y9iJOYPAwRHg2AFfj7fp1g2hTGVV2TtYuD3YMMsK3GXLpkyv6IgsLZGwS03TxNefW
tGlfdZw+aerjogRbJBaRKTl8X0GHPvOc1y41YKPtDSlLhnhshWgIqB7TlxmazBmm94w8ISRWCU4/
6GdJLoDtgMnvw1U+xOHYZdTy9tajgb1uvFj56I5qhEUHLvS6B9GoD7PDCyTa2vJmkVgVCdJPzMDP
3mIv58NS+eNWzWx1zFRW6xfIZs2PFpGl4j5mpquzalqBS1sYzV0GxAVQ0FqXoLZqtkbwx8F/VxnS
SjbKCNQHuseBO5knZCPr6ABbKkbbMgy1PnJIx2IfIGl7PXVI3iVTn/fjcWwClVnoLIgFR2EV1Ld8
LKL6Tdk5OIyjQ042QgP1cc4ieaz371e9wFmA3aoS4424Qcht4koh+4TTVHVFdQ9uEBW58RDBtXRt
RAbIrvIyV67iwhnwUVnVtwt51ch9zmkJwRjOv8nnPI0nRLQSaBtYwyAKh52fR/BlvKAMPyxK5DkV
gR2vVZeH92E0LZ/moSrtzi5W3J43g3bqwWirHHwiC1p56DfZQyhvfEW2M+e3EUiAgx8u2GDODPpS
NNWRs41lM3DA0gWQ0ZJ4sAjzTDBL39sx7o44aeLqgDAF6jRBQwS/IjWiBvsjtuQo+IKOrfb+XN+G
5wjUKdJKNfDQtKaYCHBhfH9BWVwi7LWLTeSgO1KtvyNehys4BaU37JhlS53OUY5UY587H3cXoE3C
lUMr0A0ldl61aLwcWiV6ERoEzm/OiacZj8TLgkVap8SzWl72LK76DEw/uhMQXup1AEQRX2DzIk/w
4pF8YmzeCnQSYBNg4Qybrmih4ByCGdIAnG9TqSwPxLSinQZhDUJti3aNrcNloJAbcaFOIeXhlJz1
qm1QwDAaLG/HtuRiT3B79v729YiCbMn7wjfrBx7lnO6aCEZnghRi+4q+zczPYTSGHkvqAIcVasUc
wU6PmoC9AdRD5KDvkV2TM6DnjJ+yzJJt/YPtthTKWHcINGC+Aj/wUwFgTmHGWs+IcjCYqS/eOuCz
5oh0s2NzCrW6GGA7Hwg6gWrLQ0CewbIw04Bbz4TC9Z6LjTEXaKjBiJ/iS3O/NVqlirb2Q1P9fobJ
sQ937WMXCLyVaGG4m/E5CzTICIu2WXq1032x/chTsLHruUUyFfVGg1SoRLF4BDOExqQcPVSZPKet
l3VIAHjwp4bReww1DulHeDV43RymM3uqpMXWNq89/g9xDAVBCKPOq0FT1FifQVDxNs2HMWRZnRMP
ngwaMe9yJGEeXIw8x/ObI6cy7maKkucGHQv+fN5ymwku8TGa8vh6xKrWt80QbeLU6gdF8RAvFlgW
FO8tVQ72Lij3CINML6fS+LyWhNeM9UEtfV9+bUKFdRKOJfqGoQ288KvLNUJ92qKt2ofYVYHBn1aU
FDP+D1hVtI6KQ6FOOdnSlecVdQ4Qn6ORsPxw57nw8DbR+fp3jCNnifQUKorpe1AGgGfQ9MSmhn3M
VfzWNjVemIwhohXYmZCOsAiG4FOg8WinIR20Q35Xn4ZW+BoK6/05qRzDnwa2YQtUzmWHIFiG9bJN
sCCc5dPlCsGRHpAlRD6YnAL5ndFgFpWdNDC3bUMQqO/wbAMRQz6Sgm/ZWa7xc3qC4nTnyy0tqAKo
IUnYQKPe9wPyZBc+cgfVFTA/b/iygKdH0JT2tdpJsDswGdtKT8AITL73nCIYITHmavkC7iN4kt6K
fJmoxlldCyH79hCiKjQJR3bpDnUvcDgITDV689o+L7BVXhhgshuEaHFFT4lOePh4H5TBgNyrU9DL
Nt2yr+LWb3a0autsgRr44TitLw3YqzLlcQcmsuV5u0PuKUABKcoCRnQ8ATDg0YKWvgWne7kgxhBk
I5rh/M7MyMJkA7wXfUXCb0ob7iV6bdQH8grkUY6AXLPOLnhk1mIJil3sOf3VXym2mK4D+L2jGEs4
p25uw+EVXJZ8cBH8KXgpNvyBgTLYInUXYPkAm8ef/bjF1tWXDtd+7haGwhyxHfOxQm3qdhZYh76t
kQDPZtmj0wxhUuFghuaDKROn/HXLQrxheKx4/teigNCyEKI3NgTPfDnBor9DzGPI7+qxxGKpYPd/
QgMPSWQClYQo6sja8kcgx778sSCgvAaYhrJIVFBcOIgAflNCwYtmsX1ApADBPsFP7S83AtV+M6bE
NjX1W1jTBwuOPnGzqJNClW5Fhsr2KO9A1eObz+HazkM4F1g0wsBw0fCJcocQSHqq2skMqeyPi9s4
HyMCyFJMj2SAlJGMIaqHFFtzWzzINscz7gXblAXXF9a7Vcy1/U4iIt7vYNG3VYa8j343muKhLf08
Z099ALXgQYx8ey+RH2uRNXPUg3DVBdJgSVwVyvvSOSa9JxliGX7dpkazG9aXw3oD0kr1DytuavXR
tLhOO8S/t2cEAbo+0cu02FuI9/6jH3btVwRLt8uFAgBiH0e4/hGB0LnKorCNPomg19N+5CMvdxJM
dJHSfGhoShGq0ansAx+q+9zKa2Cx054K2d2oCkMn9n61ymh3VmMnnKflYQrGfD6UvMQUFHghKICq
cV1eHYuJvirWDvtZYCtcsbii2FzOMwTOfdJZyulQCJU/fLtsd8vXFksJyhnuWThNZvhM0e+zm/Mz
J1uNmS8ngcqMDVaOpoisnUdDmNOggLbFiI0d8Rjq1/qU5kK0Dje3guiSZ+e175+0w7iJUHwMp1sa
AGGQOGy2PrKMRiS7uhr7REbRBjXpQrztqYdnhiBVvSXVy1Pq+nRInudjQJbDyjj/GbEXbFmYkLMt
/lba9QkmkPIRcQCjfiymiapPbY7p32m5tn1+F+kJeRbMGVqRbZ77HAolrEukaBVlWNLnJRZ3DvtD
2Xl4n+e1otRWmmgzzAj6Q/vF35ZMv8sGz3vCUFFg6MEmQ+WM41OdI3tGSnyqAZk0dmMMX56U3RKi
56fQP+1zLvdxcmDTLEjSd7nrz57YHyO87n8eO/UGsWcsVP7HEPZ//ef/feoa/HMaFP7n/9xmuP/5
Xzf/HP7+2686fHTbFEf96xdt7+ZfP+vPkeTbEK9/zSf/ZSzYeVz8/zAz7Ld/+b8cKOaDQPjJO/jb
QLE/J+v+ND/s/E1/zA8T4h8xttAQYyypwL82J+GP+WHoY/7hI8y5EVcEw7T4X+aHYfAiAfQmsOuH
MI3+z7/mh20/EENoBeEB/h2F/8n4MODjfzE6mDj5nBzDHmPIZUTQbcDYTwPEqAGRoXrKrzFVRamb
olAAWtIFo2nq21Y7GzyEUQ9rQFfgXdNcdVIfwT2F8gGS5ALDnxNHd145Bfoo+9iLbxq/0o+0FAr5
uHDETglqgVBw7qVpAexNOjTVS4+hRSy/XlYPG2RSr+2MfJVxi9UwPDyB0QCJGog/7lXsN2Y6hhKt
cL1bO6XBGcEwULvBm3oO2HQMZJPF7YK803f0Cby1STHhrDE7FFo+aAGJqWhZG1Cz3s1IxsUEMX4c
LfdVWTqO4SNOBR0S0xUOjp2LfaiI16acEbK75jBhm1sXM4w9gd0g4ivMInLzj6hBLbBHASP6Fxiq
SGUg6m35WIIbk5ixlKCp9KerBuQLvwIMiyRrtDLHj3XNhvBzw6rC/ybAbvoITsSioOFV5SlKPlVw
XdAczU6652bxiHkoitqJOyq9sL0tkH+A4I4YRHigql4UtM1uXm7yICirB+p7MtpXHkQ2oMPbxHEI
DGStmwzUwwTiaiIS6fTRR0CyR4DGQ3ietMN93doR0yGM1aPcUzsLks04UOB3YWRMuY8AWc2HRQxN
dBmClFwuBwY9IwtMFatPFvM9PmbdlfmhB5W6XLFZGHsR8KgyNwAiWoa0Ea+K8kArPptD5Km6R5aJ
FjqjHrROGEY4s9Km0l14PdIA0bEJbHm9Lya0T9eYodWpq1WD4Uj6dgY8u3Fkr3kvWLtzDRUHWoNl
P5SY2TUfSQGNIkOYVQd7zPQr/UsRsh6jYnS3xaPgqh9qo3BMxlHnh5nXjSOK25Ys5Bjh9cuMR434
TvKgBbMoKjfG17WBls0dqtxxqDF5oQLyqt7WEL+XAchVh8Y2T6d4GR0wK6SbPe+W496b8r2P+MKu
ZlhGBpO4KGilZvXjAtleF1cvURh5Q9ppRN9uWpJjwgEuFmk/cdGtOOCaCAg7MtfjCGTOBX2LitO2
FOUourv9Ar48x6wIy2bjX8BU6bzhQBYnsXbEKCZ7ATHKDHvkfBXyScRARUtnB9wNqDBOCjyRdIne
oN3LNU5WzL7wsSIwf6JGSk/Wn5cQ6x6ITrl28CaJb2YYIO2EMpS4KsAu4BfVD0gvne1ThE7JJ8lo
06BTs4K/NGJpIwQvN2xIgbzXULOlHJ5LzJTQwYW2kl5Cn4iBN1m4vo9Q1tG8oeb21WPVTP0rBuUA
r07BCbN7P17HsYeOGKiXZfCdA2KLEYwQR2xspxSeCSq8eamD8slaP4YA5OYHoGTTNmBFCxPDWUWP
jElaGM8g+wW8xNkr/v9H4387RfjPU26DGH53Mv79NwH8+r1/HJDbb07xMRAVcWpgI8DfcQr+84Ck
8T/weyWQ5gW1gcAIB2zy54BNHJCU4VSNMPYR3/zzAUlBzsA4xvnpE1j4/8kJufEqf4Ib6B0h6cYR
pUABgOTh7f31fDQlQ6glXuMnWBWYZyl1PE1QqJH6PLipd5gUBSEr+DdM1N9fFMVAGIBEimJclXD7
+58PZaijYqG5e1LITdG0mDiBvYA3wqHHGlsmHPNWnn+6PX+UeD9PEv1vXhPkPQoAEVIeoCL562sO
Hdw6+Mr2yfDOjrCB2yH8xGyHWU5mgZnyAKmvWd5//6J/HV+6XV2B+cRQoCOMMg7+hsUIO2qcOMo8
lYbBMQOR6rYZYqCIjpOt6KuolRd8oQgQl19+/8rBr4UPXhr3FLNTwXfEuMm/UirAgjTG8y1PdgBd
dtBtFH6BjgYMlDf9CkA8ZreYJebcDcLenjqyHkPj9vCNvA/8thtkT5DzhL6Pw8Lw/e/f299vBbgd
6jN4mbgmEFL/eitWf7DELzr9VHLTIGWLGFmDEZEitupCSL8zh7IKPOgL//nLYnYLwyQbATCE//Ky
mGyjxpjW49MEgfoNhI8uM1eZ8ttKjN63dlH/D6/I8EFJFG6/GOb0EP+8znviQ24DCPyk5kFctwoD
h7bY9+gdhxijejKI6K76N5+SbAv5r090jM3LF+EGG4Kv++XhqjAZEsVP0z9FixR1Ng19BT55Kaep
TENt6bPpQ7keEamK7HuI/FzzCUMjgf6pWczu+xQ5iWGxdu1ayG2mjNYv/mQIRT7cr70UZkFQXWuH
p2nXCS9nVysOLgCaQz+VcOenIjoGeeii/3zN4I6AsI/xm3Z8zn65ee1/cXZmO24jWdd9IgKcIkje
kppyTknpTNs3hF22Oc9DkHz6b6n7v6iU8k/BjSp0NVAoU5yCJ87Ze+2id8NS1NULBiiLzq0yX4ib
sSHPQXbNfRRMUOg+f16AvJ9fSCFYlFmi6c243ulC/2uVIoYBBlqiVy9YTNt4jUGyKVY4l4yfgzQs
kis+I/2e9l3nR2OtwC9CqpPNAnWmyHJhKmo6HNgXECsO+g+DYe7tUtBR39FnyeeNnEDpbXU2wV4w
pnpT0IWosvI3woGmSq6cu3Fx8g7xUwxIUIjaNm/N2c8RXVuMXinilxQxtP6lgoyIPZK3pW79BcZI
RkkDz0w5gQhhIT21EtzgjRiWmoKk72ZmSSMakChouxR/z6qwcvdtxsKbrkTs9gOJNJ9dvveaPG4Q
3ihAE5YDPgYz6PmSspSpNmWG8I4qG1QbFMaUoPoFQCJn6iejc3d1n+vtK2KaEV9MP7v1TalXwHc+
/x0XC77DossD49mYmJEInl02C7BgW8OeO2puieNxXqIowHZSl8HMoIhuZ+qa8SrHMGlcOfIpv+X9
A4SKjweVQ1MvWHSNzh5XJMhzxEr+Us2zhZvT0aavDfv/8hZfR4wXsRvd8MX0TBsPSK8hhTdbdwKT
lYXFHzbF5XSDarxtj/h8osF3FT29lWnXuPwkQCrnAYWZU2NeD7HlbIskrKs/C8Z5vKjoUsw1rbXG
2dGiaWgBG1LzAj58Y7iq6qxrVtOUDc6hc0rdeek7z6SX3blAcVieyluapVbMd7gDaLttcQtmm7yO
FvAnhl1gfsQv3/VYcGOt+zb1tZd8s+lA6Wt7jgqonYwB1ANyemd8ZsMAbNTvpGY1MgD5p5+GccaS
sGfA1pt0vqGKvkI+EZlJ8QycZspdRGZdoj01jZ55tPWjvn9iCStHCBl9mj/1NVSCPdyaPsNqzkSj
2UVt4TY7x4vEgHxZl/SuFWTdO3eCgXMsFIwrX1mjaf2YaXGAk4KRWTGAtfXR9jDaYt9mzUK5jzll
NqMKnedsLd4dd6vLd0PSFOl3SHupCELNQN4y5lk0Mguq42xD58TWt6C02aSmyIKL+8QD9sS4aCgN
eyNV6MXV1h48T7EdovBA0VRN1vRQlGUuwFM0lbUHQtgMftkljXGTiAKqz1zOWr3//G24LEI8lKGm
RY1nog62/6ME/9cS6miCpp9bhsdoKFy5BZhqj9A8zGnaFxGzcp5VBwYU/T6J63M2MLEk+ZhYi5+Y
ffMP7YxU3OHy1Zc3hTvMuLLKnd7Gd59Kfh7PDgo9yhBPntPlccAm+LlG7wjVeux/LKWRuCsonG37
G/XBMAXQzPpsFWlxXwV6GRrRw+cX6GKV5QdwgVxdUCi6/P3+nUWApRd1psLjyAAW+ZZCPxWgH0vQ
E3vAOj4/2uU3BgSeZ3C2JwE768FZaQAi1GMqK9zjgBN6fHJzpAY0GDJrWUGh0MzntlLuqUzF1bV2
kxTujTFBotq5IUbQK1/0i6Xy9GMcxD8u/yN0ebbzQGkyUy4M7rEFkd7yNQGqsKpkk4vFt6PJjVZ9
PI8D8lu4GeHLX18KtPJS8mAKw6GuOFstZ6dXHoQOkwEEA8en1HEpaHKkeHUUDGmWaH8qgMrzxs6U
qykf/5b3Br+gSV5BOLXa+srPeW8S4fsFGYliXVCv45G8uDODJiJdG8vl2JlgRY6NFYXWxkTsgomu
Kpu5Wy16DB8wBi8un5phKmkWOvCdNwVlg30rdceIj5//qItvqmfxUeX5PG1O6e6e36Bkss1S1vMx
15N2OIDyDYd7oAFyBFvKKnJD3xQXmKYYAKworvNhG1cLiv3Pf8blOyIcyiKbTbTt6BdS9UUi05zF
NB5LI5zMXWMPy7eyEIZ8HOF0lv/td/w3IfT5vy//v7eJp4zAszXhZO3ARcxjydbk/MFIxqp0qbSG
41RF+hyUo0SRDJXBGIOBmQTjuUEfvWcAbmH0MJVzl7+MmFbHtdMwD/8Cbtcs1mW+zNntEC652iF3
HmvkI1G03CaFA6GqqWKLzlOca3ryzKCtwfjmhK75m+9ZaawS0AH9zpuKSb1G9AEhFUupz8cQ0WR8
pWq4rPM84dqG0B1h6byE53Xe3MLaoefXHRlk9vqjoTxJzkGovtZJpLKFSWkDST5bstH9njLUhrhm
oNsEhAjt73HoS3sKpKVa+4RFmJqbNFaeOA2R9OXKT718HCWvLJMGmAa0Nc93AFGOEgP7WE19gqGR
nj6a3s7TzWMaOt9GoVvPKFuNdVJpX+msWDefP4Vnxp/TGypJVWMqgc6IucW56wPcieHVOg29OTbQ
tJV28kwB+X2atfwpmtgBTWWFKqRFl5Yb9XhjI/C70ZOCJjXQhWu7hcuXQjo2mC+boBUdvujZSm6L
dprtue2OXuPa9OXduBzpm0x2bzbgEbW6QVjvSLizFNtLspYGbueVndnwzyYeKUyvTR+yC6XCUrPz
1Obl6CCqXBbxgG1uvLblv/zSct0Enx7aPrpBJtr7D51iwtjNbQbwa06N3wkVE+5a+L+gWLJ4kvlX
9K9xDxCnndLf8FYK90o/5PK1dlgSeGwcR3j2xXPOTpHpzBTlR7od44ZPTmgzZ62Qsed199gVsXVl
9by8Q44k2Y0FlKrcYvz0/oxH4jag7NccsByBTOSxSn+nMW77Q8LHp7tSSHxwemxUT/0taglX6Gdr
NQwRUYvSy44J9fE6LWiId5S9m6JOlh3m5Xz3+evw0dkJnj2PM3OZ4J2dHSYuWAT1nB5HhKJvQykz
b79A+9dva4/t6O+/PppDu4kzZImyLvooqsRdk3hTciRWwLgj4aLOnmQbL12QUkFcWxM/uJYs/Sc/
nUlxSJjV+zvXd3Ceci1JjkmqYmeVkzjSk1swFdI3as48GIc5rW4/P8UPSmWXgSlN4tM0Vb+oACyw
0kwdC+/QRQI+XBIW5a8aaqLYhJA69Kcod6XCj7/Er83Q6gry06I5KMDiKsddj1j+MXUNTBx4XBqd
ROfPttcf/jqLKuC0tebv82sitcJz+cw5BxnhLMc4VeaWvapJnFCroSmt+akhkmFBwhMblAS2XZMe
g9hc7cxyaJ6HsOiz+0pQUuYbNzS1Kw/I5S1zjdOTSF4cXQtqqPe3rMn4Nkxt5B7w8abIPNMFH9pY
IHP6mliNBymbIPSfn1+T81dAYAWl9e2ePKynGv7smLkcYDvKLj4WRoJvrtOxbfuGO0KbCAHiPP/t
0ThDmv420T02xqCzo1XR4mixMt1DC225uEO4U7nfIesyunMQIdOy+/x459W5MDkeHURdN9AlXezc
tBhSjDFwvFo2wytCP4CfLGTOyhngPQcJXnJMdkVlWlc+8+e38nRgLqnOaZ6EBed7lM7IaVUuhnPg
W1S/dVliD3fkIC1bLzLkT0C3WnXliBfbotMh6Sjq7EFYPTnb909P3avC0ZfEOegVdvk7Obq4yIdT
mEiA9C37NhfD2OB0aaJXHR64t8XJIf4QpKFXV676+WeSX2JS/tucvsF3/Xy/DO4lxh8i0ELVo7GB
jzZtOppe4PVnY2/XDnhgBeDdmhd7+/n9/ugimCx2fKJ5mi8LQTIOxmLGxn/AlNhvmt5sn05ic6oK
LBqQKW7COW2gq8pmawuJSBVx65VK/4OzZ8d1ahjw0PFSnX1UnMpB0Wdm4tCBp/xh6qX50CzZVwda
waYptCe0wAlPXva3O1FhsWToJl54HWsvu8H3999alDZLJL6HEtJItGlUWE9rQFDAS/1FaDX4omaC
5iFMrfzrZ49jnyZwSGdMTv28YUgBzV4DM9+Bd8uKAcWXQ/eadygrt8Y8ZPWG982WK2eJrO9MYuIu
9ZfeqOf9wKwR8ujnT8HFmgYjiTYqyyhSL1b6szeBrDPPHtDjHhjuh+tkqLsX4hyi27Gz219/fSim
P/Ik82H6eNGujNKC6A164YdItoShTXnkmBtsEtL7HkMeaF4/P9zFsnJqQzH3OS0uNEnP36zUcRa7
7gv9sFSimV8ElJVh0yNAJagkVotm4XUbgVx8ftSLVZS526nXwi3izaLJ9P7JamhaUSQW84Hyxoz2
BWeKadr1quqoIRN9mCjj1XpWejhc2a9cvEscmfNl28J2iXjH07//V+cNi8JcGk4Bmzdi847+0XUX
sRthn/UPmVbSauk01SzgWmH07LJFWM21R/uDS35aS+ixcHJ8lc9e53CpR0X2wXBATJLfG3kyPAHY
z5s3hVFredR0lfzutGFKHkD92q+68JL6mVZznGyyPpX4SMps+TOVGnjGJoYuvNcQpIu7lvqMoNbP
6psPnnvM8AJSCBuqy81dOPToZspGP8hw1osdvGvMMBC3ZH0zO24u1397OOgXVFEcj3zJiysDhoTc
GssZDlR8MTkniNFsv82MVF/pZYw+7a8PJ3Sio/iY8rKxzL1/FmgVJzEI8vHQyHnsd7Zik7Dq7Fq3
d23SWNmVi3laJP7dVcXkLrhZks4RDlXaNu8Ph962mTRNDIdOlNBeZuh9ALsK89pI8PIRpyCiADN4
vvnrvD/F5LsS2WzzfHVu3G3TwQUhAFO3vS+qSH6fcoCFaPnsOt7RVlLmlZt4hjGx0RGgbER/odsC
sRWLyvvzREJ0sk8t3cGlHrfusg5Xc9BhnVqQp2XSBQg3hQ54YyzwwazrqbNx4kRYfsrr7q2w/QOv
IPjQG9fxkuHH7ea5nZ6qxiubt1l4Zb9lloTUizlnbN4SSVFXFNt2Ia50Ey6ffou9Ocsj42JEnOcn
MusS9Gho9gdVuOI7uGjnV1mP0Z/Wccf0yhfmss449V1PO1STfSrjurOrNiwygTAe9YcJLfLy4MSG
oKUTGaXaGa0JLjt2ySZbEYVZgl410pqRQNxm4W0PHPkaO+VyfebHoDYF5cFjdLFtRk1XnIJxu0Na
gYSMLKP9ijtSrtnDhqtcte1dmkzGldfxcl2EgsD7eGplsUCefxRoKIbSK+vuYC8Z7NrFDXMiCBYn
etKSyXkgxAKS/OcrwEev5Emdq4NMocQ5r3DsgizbKp5aimqt7ddZTOTTFlrGfI0u9MGjJE+nRj31
38b++3ciIkStc42Kd2IppteEZn4AG5tmZ6EP13YKl8c66YqZLOmoq1gHzp4kFOSlDaGkPnglyH1k
7dlChonljCUFay+On1/CD45GWcqmhM/DSVpxusT/+qCmPSBbQfzvgaTBGb1gaxWID5apD+89N8/E
5n84HCpJpMO6S+fxbM2eQRfhFLDKg9FGC76oumpNDdo4yWMBcMnYvjbxv3wV2NUbkuk5tJhTxvf7
85s7pvaxF+cHs8D2A6vUrOwtaM3+NB8F2YhiamRSsNFs0siufDGM8/EHXwrhUnaabHw+WMrpPPDR
UG12KAkvzsC2kPy6Hcy6jqBsp1PaM6ucUTXjO51h3re9dezt0LK3DGBtcM9aSjtovPKefnDHmciA
5YcZylb/vDRHTovXCLviwTZr9jqzoXlpiR0Geqw/a8rKr+1/LhcGZj98TWhiQB+/eEt72emJsNP0
YBJhs0GrB8nKKWSHOXCIJz+LnDK58ph9cNdd0+bcaM/yzp4PIIlYFFashcMBREK9YRXeYdIgM8NR
9X1E8OBGMXW/1kz64DwpfniuT8UIb/DZsw0AB+iILftDhAP/NksLbLRzYmxxbWS7eJyyJ01rc+jK
Th7vTgErt2MFqCIfp29ht4x31jBZD6PsiD2cOhSzSau1VxbMj34iy7On0zA+iUrO1paqxuJnUSwd
8MTNK2QMXqADoL9VslabRF/klfbOf3oM74smpE3/2SOAZJIXRZNNC9WMHNUdQlUOX/W02fHpAAZL
BoHcCwWcsQU6Aba9IQKgtptoGw9m9h0KgoDpikvutQhBzflSzy08W3q93KLoTJKVl4Tzmv9+9smp
td+cOJzGYAR5/iCjNns2lU54mRaO818XFRiabSRozHjZ+ZyvJ4utSnYctLuHdrCRsbdDp3yLDF4y
WJWmHf52uWQyxIaXlq0F0O9c/ILShxjoyikP/BJ6YfgGkQ9akwujakh1/crm6nJlYFvDzvU/BaBL
8/n9Wom2opi0WpZsJoFUszwSvBzr/LXqgPf+Pwn2/3ck+dHRHEomeowE67jnR4vI0QMPjEwvLsaQ
FkzolTCUlx5Olh/BEUuv6QQuqgXv9O2mCefQB2L3evZ+Fugd6lno2j7vzMnDQGc4A3oikJlXVtiL
t4wD0aylyXhafnDGv7+Ok+cYhKgV2n5cekjB8AzYKEQw4IraZhjvqmvV54cHJBuMVZbX7GKWHGHH
X+xWhvukcpQRjH2n+jWJtAlJ1Cyvc5B6ZpdcOcuL+0fT1pCcHdoszCfnsxlDtDHooFrbp7wlGxeD
xFHYg/Zr4avlXFm3LtZzjsUtIwXH5ouK7vT9FV1AYkAfzbW9N5tes1rqpjF2MxzScI0DUidshpqv
3KJgAKDw+Sv4wbU9aXwQwPEbUA+e3UzAKr1kUQ73KASAMBF/vNGSNr9t6wgSsqH0zefHO/1571ZM
BDt8LtnTMjahr3P2Elo6wCHNnbW90xBVsi4mKDerqJYiO8W2OccC4LvwF8tO433Vl81f31XJ63GS
a9BoExf1YD0yicDH5O3TVDTOS4RLPfelNo4bxkZN/vPzk718hqjeGV9ipXNPJfzZxSVmkuSWSPf2
MRW2sSFviUxhqRfTsc/tPL/2hT5du7Nri/yBV59BOS/n+bWVY5qQV9o4+8bo9TxIIO0umIP5xKxT
3erkP+XMf79OUKhlCLiVXZo34USEfdDCKItWNci+NNBb1DRXSsUPLsRpu8b2kZ6ad1H0t4mnOUnl
SqaN7bSec6fbOiKKt2S2O+u/vuZsl0zJWmh/sFM1By1K5mx29oxBMj3AmydniRVX10BMU6ohPfz7
A1KC01FAYnD5SFmGGoleap19ZTaAkIaqJA/Qc+bxFvmL9+Xzg12+rpLGM5o3xql0Ms67J3aozyfF
utwTTj5sSXbxAGpN1g43orWbI6lfuXGXKxPHY4TJ1pApPMON9yuTUSZaBX1X7iO0ukGcxcYONGz6
K64NAj/G3gvauCr+h5NklEqVeXKaXkwUiGc1mdWWcq8yZYyP0VxkP1tLq74Q4qU9uuXkyCuD+I9O
E1EjTWbaCbRTzlalXo1Vxm0U+4I8MviwKFGzhwmI7hzQI22dJ6HHuPzIbNCrK8/rR3eUjQpaHprc
NrPr91eYtNAmI/NW7A0AFfoq8lQy7wz00MlKr6flvoprlf1tJcSwQLJro9HH5s0591RYqRqFnVCi
4tac1qNSy4bla3qslsT6Hx4gjsKHG5WcuFgC89Qxl7wVYi/cJNkWxszwuwXs6A+Qg1ZQIZnESgK0
P39NxOVKSHORItbmxYQoc7bw5vLkoRGt2Le6SI6ijmbnxs0rEa/1tpJvnx/sozvIduxkWkYiQ+/0
7A6OkTn3kPz2wxgbG3KJ9M0yiemthn4WmIQjXjk5btTF6XFipwWeIQwDkvP9HxyChY5kL/YmQUtE
f1qK2AFT781b5gJ1ui46MmvuBHDJ5rHrAdnsI3IFZ2gWjgDDM+hcepiFhdqkZaHN5HQsWfyGlz+u
d0XWuNE+6TLdvkvTKB02EtHx4FdJ7YFMbXWmrGakCGb00/wEDNb6wSShkhyIllRIIESB65LPQVHW
8SolLWCIxyRhFL2GRUJgOLuk0tzOztDGX7PFbG1/MNFbx0EnB2BUeRjiFt1G85x6hV+62HhjPzXs
ydybzjSKlbVg390UELPEr9JYsKCi/iYl+2ZgGmhuZNfZ2i+nyccXgr0a4lAqh8ytN8ZmCkyH7bI1
/Fk05RS56zC2wUPtmgntOrJxUloN1FYqgcmeK7omqULZAmF+CO0no9f0wQiMgvyKF72VOG38eHTl
gW5HTkqHXpc1qYOuxZb/5Gzt3Kp86UIJuplBdLjSoTc9Ga0wNh1pWfcAzIZvfCrntQnVn+iTheUu
t9SfthXecwljDauoqOpyhRudcFoMfr0JWl9XeNGnuDm2Ser+rttJQOhvjHI5AGBw8WXJsDRJLm6z
wVcmcZkbYWAA3p3ocOyy5A0olyL5WlDzTG86cNse5F5WfAcX03v+1INl9uvaJdiGxjW40aatiXWN
TsCKFCTa99KcEhG0dlKApBgSDK0NUQmAg/GLPyCRNJIDcBoEp4npPJPuDQRfqpaa1lR1zUMK6o3k
ZMLsU+JaNZ+ECz0YSEIadzWaZTc4RTLs2tFr54cWRh9pbhpZJIQ01gPIwEnWxkltnFK4iEJrb2e2
5dlqIvQSS0Q0jNXa48Au/1/mITlHRXkDoMtLnhqHFLGngTjmN07Lie8T0tJHwIkLsYnkgAk/wmx9
pyyzeRmMJNN3VejM+q8RSW/yk7Dvsb81K08Ua9Ua3uzrEcPhu24IQ3HLuBujleaMIpi6dMlfHB5i
awsxe5lLf/ISu76fdXK4fbsqTlzNOB2y+34QsDX90G3GZFdRFIYbBZ2m9ctIt9N1Q45aR0oQV6aF
Xf0ysbV78zI7IlAgX4BAsoclns6LehUkxNk3WBLKVq3buATjy749J4KDxCnht3GNi+EksLODJE7N
grk0qNGVSzzAkQDfjNRlAK9+vhgH1vEhCcooGwxwNWnxT7cokHH9BFNlnUo3fHRmI3/wckAEfqS7
Y4Wq12gmv1+yRALKqYADLd4Yv40gpF9GORTJPaMrcisKjWAAH9zdsKymaExhMDaymPcTUEkZtFEz
VnvkU3yDZePcMy638WubKWvLVKXhUUEyaW/yDjI5nukaSvRozeEdYNS2XMtWGtsijoduG1qVp60z
OxRLkCWh/maTDF1u+CPmcqN5ZDivTRY98iZh+N2d1ks02U1d3MP1ohNjjPwTKFAkb0aP3Cs/G21t
M45jv+8wypd3NiEFvR+Zy5BSG+D+34F2vcOHON2EBVlnawlL8Dth0+BrnNEjF7Yc+OW7huiMozN1
9e+66zx7zz6oCFdDBz3/aNU0i4l4yWxk/K1c6udFRSPPfkRw0cGwI5PgllJiZMM1VnYB6D9p7ryO
qcdvLyc2MlBysttA7ytyvhiaazrsS6I5v0zKZErlt31IHMMYR8aIlyaKY9NHzhKrrS4zK1pV4N+J
nU5oXqKOZmiLpxgai+vuTjk4+Tq1pp6YQaFXy/QrRIsBnyKtkvxBQJRTG1VOMTnBixGaKzwA5a+/
/b6eJj2ejsgHQdyFB7jUFdMBFdl7tzbr+5ZAJ8jjsIc3EUyJbQEf6Up5hBLy7ANLIY/bAtUirEf8
i+ezV0xBRTR5RvpMXFwN9Hep9vUSARYwFy0M4ePJPw6bpYcaMb1+M6qJHE+9T0i1B1sCoSSVK/7k
9gveg1LHjZG4mzjztOZomfRnZteItzGEDirKPGSFj63hGzwKCDuRi1wSSutDYZY0j8HLed+bhGki
4iHjF9q1+l4Ns+34RU/moRiTqghqLS5q5t6ZXAH/W970OpNbI0xsGk05bMKur7tbMo1NPIATO0LG
Ccsfr9ckYZu9yXc3Hb3vysBP7keobTsCkLBLIhkbrae6SpdnbRnGL3YfWy79fBVpu8Kmo7qWg6G+
ODWE5aBrGPUEc6wBcxiYe/KI9kazyyYrJ7yzCZOXCSHminyc/B5XbetFQdxCK5xdPmg+kgO4d41p
uYrFrzFWUsfqR9y1NNO13Tr5rdZRmE7drNdrkjy7H5mm19oW1f/SbkewZzN5kXAYbqpayVtvoo2N
6xGLhW8SmPqYY+LPgzCWjQXOxUXqaA66TRRvRegYnr6fwF28BksdEpZdpQ1UJK0x3XS6k2AyswhT
LyF9cOEiQ2yddp6fxrhsnyOvbZ+Rcuj3fEXTO/bcgngh02VfO9ksAsFCPBPy9tiBTNv9BgjSGadO
sCC3eho3I70gLzBlAYGtSeSNV7reY00IBUHsZt28IBBxfExv/XNdpNoNJUtrPgwiK79ri6j2HVuJ
g1HKbp2VZGwG2VQMNoaFWQTFsIzRA7i/MuhrbmzgasDYNgN+nh/IFbHr02Q5jLDbt+wPCOsKR++k
TRzkGtSwcRBGXG8lQPAbYnVIYKyAmZCoWwGIDCbZur8y1f1I6UF80VT3hZC24aG3md/pfA1/GXFH
mKyTtiSnSJPMtyU+xGIwtK3qNXU/iTwvQGTk1eIzaw6/1mST44hzS7x3HE1ba1Nc2oFWdOVDVHfh
PzgWSWLyXPUwq2n27WQYSIFqfkqloh3o2NAjU7Q2Zp8CfTJvY/Ke/Z6YbZ4rdCHNbnJmsfYoa2lt
5MLb6Fr2VLsCxsgglXaHhwdIkL1oxithbCQ5yRMw0yJh7MZyhdjNIa7CNVtHXmRi19z1UrtpF9Qd
vLMm1MzXlMHAJmtKHB+2EeVrSLQZccQSuMtiJPGxG7tqbzbTeFPpkVhrTkNS1GLai/HQi6rdDt4k
eVPK4SlpUgfa1/wE1si8pZtAslbZJCAkMXJtDKtoN6QkkUoUV+UqNCr1QHxrvkXKtBArZJGiqWDy
wmy2AcnhH/miIenwsaGcqBBNCsN4ltGXUA5kQhvupvCqEjBKlOpUM4KvqMI/XGFwJM9qxDoar4A2
67eKm6IFdA7FplrAVCp3qpI7KDTNEX7C8ksvOuttLuwQmOjYhjdwHPsbQeAADpgl/dJl+V2W2umb
RYLNjTuBroUp96gZjZzo9ROdgK+1EF+91LLvDQdrgSLej46VGbn/sPaH36JmJiMRp8Rd6lBvLgVp
wH5J1207OZk4JotbvAC477+noXqcdFfdm0pld3KI5xdU4Mktqe8dig4iuXhUcHh86cdSM9cAarB5
TMTLM7OqnHvLJvfV79kxbzoA5vx7la1Cd3T3cy77lWOP4kfUSF0LAEMt93ZdeYMPOo6qZtBj7ZWg
POJzG2mhKDa17ivecG/V5i4um64j+jOBER20ldFtx84e3Q0+7YSU58QU3Fu1/NOHpQNQUzb3hVdo
nY8XtDRXdWKk6i4LZwcOZEYeotCcg90IANGR2wybwZzmg4xdUj0Xflo/9JRXUwyqP88db1q3yVje
kGkyxX52Gn/6mdl6L4Rl/IhKrHJ+T9BuTzJTtdQ4b233pqwM84l6ounu7dlKDqlme2/KCKPF5x0S
c1CPbfqSCjf+4lhRV68AQ7kPTtS4v4Y81HZaVLxpgpDMNZlh4bgK41l7nLix/JRCu82Rb/Rx+1Z2
bMW0/MYeSbRHGxnE9mImpD4uc5jNREv3bEofO2sw8pWsi8wY3jrHYhu+MhWBr42P0thy1jVVU7Zd
RqeWUEPz2HjoUqzFd2MDByjeImSb5mfiWAbrpsSJlL+WytT+QMDtllfE4N64kXRJibxPC9qENYFp
8Y63AJKtPU4Hklnb6pEosN4i3dOYHuREVoEd1DZ/LON9nR1WFPRdnhbwgBDCYlHGpmZt2imytwy/
4+F5IonC3BQYJ4kCrnS13JlLOq6yKjXbIKxMB8BDhLl6NaHBqrgh9FGGla6mhl0VZiDnVkvMuFrb
hTYtL7R4NXM1IgAnv7rPWHhDnkLPXFR150LlAk5mn2gwhAW6glj5jY1gqbtRGKyGByrwiQ+ym0Mo
5UVvSPwgVLIMVQbfpEZ4z/TNmXOTpXFpFSeoWOrI+IrKscUxViVeuRAZzCZfuj5APylXxC311go7
ky7uQZpZJqmHEDcd79ZoExAxfmUJBSlq1PK+ups9Ldf9cTFy9ZRXsmh/VKI02gMbBqHuUBjOKphT
Qn13SZoWAbna7fhUR65T3xC7qdlsPLpKuxPk5Nb/CORO2aZpm6Qhe9KJdeoJjQr1UbfysvlBu4Lw
1UD0pLs/FJ7oSF4pU8zTfqsvhHzUYdZ0gTGGafK4DLEzku8zVEX6i36LdIO+EmPOt1Ea9QA6rQ6J
YgRN5ow3Hdk+/S0hknO9ojzC4ezTVidfHGdBHQYlW0MGvxRDrYnDU5fdC5Cp2IERViXP8cCo5wfx
yEbC2BHSGRs2yxxWqG57dsaYuARwrTG3fB2x0byre0DNmyJ1Jv3V6ZRZ7CxlmsZ64RXryFTHd6et
QX2dNktjpqstBExXo++1wITngzjUr64JxXiTtnb9UinTe5rKWh8eWMSVcagStFRk/7ZsKddorqz4
QZcwRJ7mSk+6kdiVHN5ORqYzL0fr0a8LLEVuyC0oK7P0k6yzzZVBk6DY5YMzTVs77fT4VffQhtHv
6RKkF41HMkqxeKlTkzI/VN+8ZcgsbIDsxtSDQXBgfSesrtNeJ682m0DwxpAMFI98bEH1CW+tkgTu
ChtYEn/5uDnOlzlrPIPF1+jEOp9omfhiTIc5Xqdd7DTpWtkAwX3Ssm0GIZQyS7XuZZykd9ZMQMza
bAq7XKE9bJdHK60q7ZfptEt+13SuDscLsdvwox+UIlHUBna+ScOT5zq3IoKmGwtEa5C5lWqINAfQ
+cAcPxLPdWsKZ+2Re1bfdGxkunsLMS2EN57A6GUkX1X+zIRq4vsYWmtzN2RKFn6eKVv9I9qlim5R
lOflZhq0xf4KhNx6pQvkJEFRwy68UQA45LZtsjE7ZBlo3BOm0CJqhBewWEsLiITfSxcAu6/UPHFg
j1hCwCTT4r7irbOXjQnezL61Pe4d428UJMYP0uO6N6yxRRukcHCZNBoxH2ufr2tiB1OtrOoZkZ9V
E4ThzsuPPCKu8ShH3rdvISy66TVvwKg5kTYo1D5VVAN0BxGbPSZ5i0XDb9qldFfsfezhK6E7g/ym
8EdntyHS1uEmjC0vJk1GJ8cEKRjBa2tyIT21Ely7ZgO/zTNeq2HI4gbEvoRm7IuGjcwz3z/dS1dI
7tU/GCKhNAe6m0rvmzEOZvo8zKIb62Ci/4UsMIlkv0vbGKCEb3Iu1rp2Sje+SfRyGrbtYsXR1yKe
W3vdZUa0rLWccpBUDLdxtJ8SB6QMekf9H3tnshw3sp3hd7l73EjMwMKbmjmrRIkitUGILQnzkEAm
pqf3lyRtd1MOKbz34oau1GQVCpXIPOc//zDSs5DG5P3V4J6XbyYBDnlCfKHVJwruYjlhVVKNP5y+
70jKoOpzWYBBSQXaYwgz3DsThL6LNeHxvVlF2Pzo15zSaTP13UwHj607hpZ+3BliR6MGTpnV6rVF
35K4ztHukK9srCKxpX8AhlrzL8BCeXwpu0E3+0ZYen0MIMgXf9Xe4Kenom6Uu0lajDHuBwfP9m9J
K7EPKQNV1PMmBXPLDxJx9AMbPluAQ7aESfzF9vdiwe882kAplTMhx37nPCdlK7JTao14N49kf00b
GB1Rd1doJ39icMHKZJtMAJv8RVE+z92qncOC4Ud6mLJ5bcmqxYPxykHYZT+uVTiGe8+r3OoDQcK4
xKKejqKtw/CyPoigEfPFXCR+fkzdtoHTqSahtkS4Kv8wJWkEUNm4nZNf5PTH1zhCNu3lMM4ra58g
5KLb8PQTpEP+5DLRthXYiF0nykFrtulG32RzF1OgL5uFwXu66aNooPxYF97VxRvJu3CXqLE+xDpX
1gU2uYt8YHCo8Pt08ZzaZ1GjfjhxHpPY27FXk7lALvTWjVvsf5gdee30WYfLVN3kbGjW3g3qoD9O
aQAKZ3QjyC/HqiWmW3TTsFVF0hXHpSOyId+01qLogHo1BBdO7WfOqY3KqKa5661pN4+4u9zpborn
Y4H9rvrGPJc0H9Ki8uAmcVY/3KLYG4afNGe5s/fJ8NAkkeSVxslwWT6R71J6B8mOUB1aUtjrXbTg
LL2zS8sr79laXHHnOJMm5ygOU/sawWIhkSnnsov/4kEX5Zm9SKnbfqxH99DkmHScapWlf61gasGW
qHSprm23ymdyQVG5fSY/IhRbd2ZqklKfZaApQnUexevC+P+pwbTGfoBX7dHq6KRcj0XYUsVLbFyz
U5kvONfUhGq4J0HekXGLJtEqoCtmk+Iw0aQTax3QtmzplszfQyxV/JZGcwfFs3OODXhfvWX12sN+
RDodnMCE3exjwdzNoodyBu9opVRHlAMhAUIiTyN0F5h040EB8EiBuHHaWaqboJMPYcAQY1m94Zzr
BRr7Bn/KZbwghKFWnxxcws8UbX72sUxseqtNjaQ7+RrURZweGWSkC20sSNpR1EKOK8EAbQH2mOdt
fMQ8RKpD3RJ3vBnjIolvoUUlEltuXK53GI5l5X5ACTNjv1+6BsoRpQf5Wobs4vtc4RHzs62DeCg/
Ao/F3SNF9xLUO2X5Ew/SpQ28TM7ORLBrld83ZUi9hbONzZH/Nlz8f+/JP3lPouRmNPjfApZfbJlv
dfNt1Opfby7PF9//41+IfczvvJlOBva/GSAGoJxGnoATILDkf5lOOuLfAfRzBv/4+vtIF/7bdDJy
/22Mo9Csk1skmJYzvB5arbL/+Jdv/5u5feDBgEaFbUMM+L+YTjJZ/CcsGkItQFuNwjE0o+pfYlTZ
RxlgpSU03kLOuj9MY7TY9hUUW6xQ9ivb/PA0deOifwjp2/WVrccpEPu2mUJsyctgHJbgjpaqmM9e
kJWhPCQxrnfhPm8cBmoXYxmmZXnCXrBsrBMQCudKg03VfIaGOFr3LsjBfA4rIQZn27QD9UqVZYki
aWPhh2ZYqNQRbr4WNHeZgx8/7VHAFJIRwFzmW0hJ8QSsMTm89gaxeL0+2EW7Oj+tpl4MJwa1mQsq
m0YuqZJllM/EARD4zUdREIuHTTvCGyoOQkyCdyJ/ytY/7B5P32ETqSkHOZo7tyZEHJME3V8IeykI
/Ym71g+vzHQMtweJrxeUadhlNqDnmEVVsu9IP1PkTi68UwiZOrxFTLesx6By3H48ZDpY28copRdY
Dk1vk83N9IxkQ+ms5hPrYmzauxK8ajgEZUBYTa86YtvJP0rj6rIUTAS+MRbCiWTTadg/N+S01PO5
88OuvcttBp8tdtcMrbINHLwKx7og95f8Az4yafcdEQbXlTnYBD7WalHswDokXPKE78NUbKd+4T5G
dS3qq7aUXEPXBVjko3q05BMjGL7LqJbGO95uyf3m1ywuN/OTsaC4rfgWJWujoPML9PQ5GZtC/sTD
BouLQzenmHMc8Gbz5b0o8yr+a21tpWD+QaldWwxBUR7jXDYyztkB+rEMrBpc7x6+cpQy1Xv5J418
cHhK84KX2DpjWa7Yyc1KW/e9L3NWDrH33Edl9A/nmNotn7cwXxZ+mtxp/g0ALmAJU+2Y7z2NIaoO
OCbmRCDtqn4Y+XlKRG782zfSRgN6ra23FOaPklCIJbujzh4CdBzxmnn1PiftmCCevuOjCjJK8mJ4
Snpw8mrDUDdJmo2rlO105GDgGLgnt457OjGam88My6CdsY4TQmssHkkoc17OoO4ZG6ygvvAjq82+
xkjrLWerGKVH1Qeh/Xp4ciQObVTlBR2BMR+T5fow4Agxn+2B+u8J8Jp/cRWKaS6jDQKlMUmjNqu3
dIVed+GhkSJiMF5g918GKMlx5PNVnzxBc+3sK0zR8vzR1kWk9wq7IftKrS7nqpyioHnuM2/xnpIc
PG3HrSMBfcozXhRGZKsv4WuHPjmA4DTHWM1Dc5plgRpp45ShO+XVYcI8rVOo7TpLKQYDBHaSO4n0
70jFG5fgz457hDcsq4sG1iZlKCVLsRMj9j24WsvoAXsPeysGNYotdUz3hJy58HdyXvCbaylui21n
D1/IJG2/REsZfVjtXt81KqrwptYRoHgyBt6mxTKj3GSWm9wy+/e+6TmiyqtCAlbSTBJOjt36Jmpt
Tb0pktVazwwnJObsV0DJhb4WvCL7ASPhQT3GHhFX101fZYpkIJ0F6jYhUDK3z8qR0iVEufRccg8L
1cSBPNiFl/NtA1g67EP5XEj2K6I2uIOb1y/SN3vzj9IRS/NpWk0NssMZMGtOfzu7PrzSCv9uuWS/
50yx4GFQBnaIt0f8q8PTmIxM90evuF9rgMoTwwFh3y6wENgL81STdrQguqD6amhB2K/ZTslcxfe+
YAE6Xdhz4T1DUet+ZQqV3iV+RfichT9oLT5YpWA3yad+1Ht/bRbY8L+//PcTPiPUf1FWAc24JL2/
I+2QYh/TthfV5zmWfZic6j72jFmUcPzUuXeqfmnjPxAF3/OE2CUFhl5GK2OMsV6UiX/TInmdj0Hy
0Oef9bpYDGUXxumM3dU8FsnBL0s1MZEzbcXD7z8qkvR/ntsRtSpmNsjIsC38X3j25NtWGpKv+uRF
gCQHmbCxPaY9Y0x8/YD4mqdssuBR+0u/Eh8SARmf5kSEE+MWCWdok4HVmGDRHnXJtcTYa/qEe3+S
E2FDPk3yFDgTvxINFQh0tjatvCVBqHB2pTXbANPBFLZntwsX9xakEvfAjeWT3EVQ8eDZ87daqxBH
+BDW81Xth2v9ocgyhZGtXTNHITnRqrksI86rMwTfJOnuZ8D85DrAMomdB+KL3geAQ2zQncrkYY2K
FSsKqA7ZzwAlm7ztmmZeMcuFO1tGcJ/SFSRkFIBo55o06faBDogXgSHdtA+EDwftuYpyx6KviPh8
VdqxKVl1xFu8Xg1eRKPB9HqdExQwtozwf2LL2JMIkDWNbk7NyvvvIGLhJ7Rj2N755J2uSxeW+7Ls
e/tqHdnGD1qIWO8BWLPmPFd9gKq0na2R7YmSZpfMrkqedOoq3uv1jQV0C33plA2fs3ZwppZbZ8Jc
6xJXSJ/7M4fYR94IlBs2Hv7kHXqbRDKpQB1pxpuh31piW2c69c8Tz3d7jiwErNuqcKfv6ZDG0bes
Yz+7B9CXwdEdZl9dy2ZMqvuh1pk4joROA3+UWQnZ1GlE0TNXQuuQ3vrEv0vYVmrRtxaEEbDsom8q
7mc6E05uVxnvxsEwN8fS152+JAcnIpVwkbZVXsHk4zIKNkiPZL44M19pIp3kuoHv35RbbTUEJm/z
YeK2kuegmpOSNquO6fWM/wWjSrs6BLR32c9skMt8zspWDvoPjj/vdz2jtoIsLzwkMmgs3sukqebm
cYzT+DwyfKLZVMQLoF809k6ntuvr/HPe6Djcp+lA3NTvH+T/5b3ZchEz2qYA/0U6TTXt4ayyRmf6
vCm+zOO6Gc4pzfNn0h9m9xHTV8kWLJEsbX7/zu57qR8GEwJITTC+jvE6fr9dUvVJl/MsPA8jgDM4
RtKbgW/pVw/5sNhwHCzF/w1qGGijisSzYBZEXU9KKCGK9YiuumjJUzq9/n+nYFx51bTQe764jCPE
tgnzrr9WpQkbmpLVTZ4aEqHL04yFanCkNp2nXY59FUHlvtMF2aVTW0512Za0Iz9QVnXBMYGcKzbT
MHANPgSlfuMMC8Kl39+K97s49gw+Phsw+hHCkZJj/vvfdvEsbGcA6yA4Vymzc3Kg9UKK4SZzsthq
N2i1207sPAZa7Zffv/EvGmzjrmLEUvDM2dH994Y3TJBHNvJA3pvJRA9tJFU4+TJlkj3jG1xyo/KK
rkyKbtdpf4UqadWNkOsm8ldT7ZWJSOi1fn9Vrvv+bMEMwZi0wZ7GyRkLmH/eDwJfl3xFKHIvm7QR
KN/6UnZ7pyeU+TwkC9uXsPCCyEjvAXoFK6l48gPgXViOnpgsY39ntqGcEGl5661i9K8FFL2EKT7l
Pud/30bzkB5aolezn2Lse3lryp3kCYO0bKLxcpcQz0O3CObupsY4Dzoa6a7MAzYN1lr2g8DSun/G
pbcYriCBqPZz2JVNexHaDGyfpD8N6kIUOAE+MKsU7vKHFfPLY4tGHcMQJPoh2qVfPQgVI2bHS9Q5
DX2iamckgMGXrCSS/JqGpJ63MOOC8opTcsz+wGT6ZbHS8+MPQIQSSwc6xbsqZ8g7WKsI786ETVb0
Da9lf4Zlz/Ck85bmDVG4tfxJEvte5APZB8G1A/UlQp1MYMQ/10Q5aRraerU+ziQVsERrk/ninPq6
ZJS3bds4HNcdOJr5gzAYl9YNP9KC3uj3i/NFk/p3RYyNRhaRhMdmycQC2cQ/L2S2MTlb3anF3Bn3
OQ8L8azLElYcX/QHywbPj1FRlm57XpmctA8dMDR1TseSDu2tloqsS9jFVVhfi2Vu+kMLa8GGohB5
RfuJCZHPT5PE0bC+f3/p7xcNanw6bRAbFG/ur5bkkdZaBASaflzKbqUXizJhEAy5QDgCSqlW7O1B
rkumXYex9Wjafv/+8fvHmkUDZgQQJYyn13v526KKnEybajmvTkEsrOsOBjVY17W+mnoXLMazItOq
Bi3U9xs/Kly+y4koveHp9xcS/nolaFHhpvpAXw5n0LvvcOlyhT+blXysdJ7M2ac57p36CqSEjp5I
VtM8r/m6WiWtY+bC+crg/aiLhQjFcp9lNkhOSEZ5fRUsw8gSewWG3n5Ty7RhC4E+YtzTU0WCybNo
SoAB5imLgallA2L63HiJDdPRT5dsfZAL48XDK+iibU1bHpIkD3aiZ8b1d/i65eG4L9h7w2DvQhUd
0k2dpXxnND68Kj/pvNzPKhmc4Ijl/mzdz0AtfJc9Glb+u9dU9EZ7zLT4gbjXzfCEaDWQz2VbW8Aa
KzGg83nyYauTlWTXNPB1GZg1gdvkEkGfbcbW3iwTGgmGAs1aA7hkklHWIYtcM+eLEou/oPUCtMia
NXLGy9hOYDWekiFVtG15jYjiwCeqeGYX116yeO+X+F5/IpycwMpSAF1coUtmaLxpU6+t8u9xrlva
Ok8vA6/Q1sPEEsnQ47N0J+WRpbojO8OAgThFGzSKmfHIBoFSHpMlmr/aNIdSh6v+AfHf5geRXrUc
dpPHyORPPl7e+7IGEx+X/dFlabG+fvGXWgjLTjwV9R/h8pjNCAonnvLPg+Na09fE7Ys83c49OmXM
jgxTnexLV+CZ/7JnegUSJkCGvAKPixao/xm84NRgadmKbF9in9Ghmr8y8MUUbsZosM0j3E5evyc+
i1npgkn/ABMSMR7ktqsg92QIYhODQ13xdA4dXyFkd+cYliPssG0H2QO4C56l1X2oMzHKz9isFNWn
ZShX1A1NTxQ02GpRTuuuHlaCmueGvrLlQEx76R9rn5ol3HbGQwsiOWmrdOszaOB0Xw1r96ddxH5/
EqBQQSyMMxlseBezpnfVwRQKVWD2Ic6IWSMIrB7Q0LT3cila8hRWfEghngDLzju76dbBsPBBuzaW
peIeUYk9BDmaOkerGsY8KhKhf1jJap55jydqCA5j5RmMARXbOLZbp8xlog/eiDBmPf1+I7K9d1ui
Y8B6YAN8BzHboPj752HCvpFXoEA5hG7ox9bWx5VjZNySQGPauhFBa/XeD7n1JQksserczeJjZvTV
6ttkFXuHGDmc4WA6GDQkzfGo+AaBq+MvmdO3vMYfrtd5j3EwtqVah+yKjhnfhveAA8UeIwU2vY8j
dAxw1h3zscI5j8FKbTzjIMDewUgY8HZhhsB1YMeBb8UAEwIUVeAYSnpEtJJrkjmuprqVZGnPPwDF
Vq+GN9S5do7/f81uKRzN7wSOCR5lGsarxHBltNzYXSAmdMV5Y8uNh0NgSygt5hHXWeG2sDJyF24V
CNZQuwOlHu1xBqE5ialJ2HrNpuqVvVPeCBYSe5zSYXgFdaUfrYP9Mg3I3cYgTg46dJZ53ekMeMyA
IWZ3qWezOHQuyvG0BozV5HWY4tXwDd5KgLRn6DOGFbGLelJsqBZsUP9XaB+wArRK61QbcJYv1XxN
L3VTHUTmRZcanzSgXbTMA/IaXfbzg+iLomX1QaRqdrNk5kqYQ25hsbt52xknL+U+OSjD2Aojrw3Z
y5sI9FrtZzhl+ocPCYoHNNTC/FG2ymyIXQxpAZbOy5n3ev6lXmo+doGIoLgWRHUX04VvEzyXHQPC
q/oPcxlUfrmrRufliNCuedKll3es0qT1aMV07BBphe2pGQU4kUVNSNsCoGsjkG4K2CRrUFsn2P6p
vkDCG+rl1m06K7jQU9KI77TncK4+QEtlAcAbiFR4XEuoJ5+JGan0wRI+j2uSqQWsmpUDcJ1HRIit
O2upzZdlO0wpB8JHOpbg6w9wHBt8Glt1ZeBzomA4AmrJYPRiSe2s/Sbh/wz5Ecb0wLkByceieIzz
Iuzt2yK0zTejYvqOiaEIgiVIPk7GB4NTn/P5J7vs+KMKalNTEerOsGLpZsqF2J5H67jkZDz/oQb/
pW9zGNn5qJE5YUD9fnkM22GWCWok7vHLnRJ64F1rNBb2M8Z4MrlZhLYG/IHsxXnOQDDs09R7oT7M
8+JEf8AQXvqxv5fElJVYKaD4f3E1wM/un7uYR7mSIetLP+Y1jCx5GByN7n7P6dwyenstZ1YiU+EA
293ifozAXqthB2HaLCDbguCVH61C1izZWGUey+n3+9b7es95CcgDZuFcxhv4fc/i1EE11Oz358IW
OV765Uj0+GAHptokrqBIHjNMcfRN8jKVGmooGHeNVzLj+FPf9r61JQQ3CIi5MJ2t2frf3apu8vMB
Om9ztuJSrR8WxgnQSZhRBd5jlJetPtqqHhd7owfkzBAqke6EWxEnRXoxz3ijn0hxdcYNJ1wRH8KX
wRzFth3vgqIP9tIZLegNDPiZCq5pXoU7RyRO/RXzA3c5RjFaiGYT2pUcv6eqG4tik7EN1D+qhefL
QIQQqjpY80g/9xAPenTgqQ9besdT1Ae3dTZTwOXgOuNH8LKx/Bo6IaihBhoggX0szS6fWVa77a1o
TZ5GawV8YZgZM4QDyOj3AF1pt53KUIgtPF2YCMqzrfmvHmdbvSP/o/e3A4KY4FDZCdiLmw1pedkR
MhrtXmGhFMIBj72/hN7JFRlA0VyMLzUeXHzvNHZgTaeob4LmIokFGiNpyNqH0p8pSxllgQzVqx9T
zuMw650C7VvF5ewhVyJj2wS0swexentGUxgIIrhgHNfU/XhPWFXbLH+AwX5xvHIcTmx0t8A/nP+/
tPJiXjgie/gfhbZ5wwEuTnLwQmQFUEcywY3G1YyrzXJzWwUgKKK/AfwF1pAHpXWXdVU+fP79A/NL
k++GAf7ZAMVMZHAgftcgzWjdSCQc17O2Esxlt5w7pDRtHMTdetkKTw490tnaV4+/f1/bhGD+w3AC
RQ69KTZutKmYwb43D5FWQY6bEPosZqvQ4bF5bUF0ZrHDeZkym8PbWLmGt86mDJxPab/OXU2BqoMe
1eA2KrKyv/dAgwh8RV6kvzAmc/pyW4oBkvGWRJPSfoj9yGme4Lc16s7nTKEsrBV5fN3Wxxc13RPz
bkVbHMgmH3FEWUXY7IopNmuN4UUEDRCErjoIr0/dfb0mpJ/EazOktyBNkX3I3IDxZwCEHxzT3H2p
HiJvhpcuBeScW3B006+89oavg3qHdNn1AcjUjJ6Hrko42Vo3N70T78HEfFwdM++FNm0aH1xr3GK5
4KAw12S3Ladu3pNhsCuXwRxONNwV/6UIFTuaQJFNeTa/3C8wDDN2ZuetTStUtrPv7Z1u8qzhQzh6
poqGSC5kuhNrWK9G05LQ9lEnF+ILYXiFTK91BvUww1+AJnm85OSDCzUsXV8Mh9cvpbJkl5tge4x1
vvMUBhTgtUe4E3bKr/fRwq2Jy5gmWXPavg7L7QzDF3mwUhswehtTHyMgg4SqrEeOCAenRGcNdPlV
wd+gmHiFKl4bnOlt6P5K0ciWuKTiATWn4w0DBrr9dlpiVy43SVh1bXih22LC7Qx8tLjUXjDmN0sw
FUBYiaPLY1ejdoATxmjBuscYwxQYSx4H620413RYFTRDXt4ORHf/++cg+OWc8IkZASdhoEiTg0/R
P49UihnfSmpPfwjdltu8azg1rKv2hZ+yIHv5L/pKbYemkoparrCjaBLObnG6aj5Se61q3YpFWOMH
YA4gi1d0wekXfoNDYfW+YZEzMYqLmZpwawaUfvUV68BUdysDZbM4caEJjlGVcWC6kNut+ybv5Qh7
vSqAkzdxYfXTTQwpLX3yGd3AzEsLT0QdftkOj6UIZktdMAeLGS13JQdjC1e/81nXKRo01iYR6FTh
C6JP1oE1c+zezFRx64P3wrmRSUnnswH5Z/orVQaVHMZ3t3C9b81y1liLPiGgjurduoREnG+y3vfT
/eoLZ7nCScW01G9Pwivzxmmgcp4DDuP1QU/SXJQvUk8+N1WD19+mKFsmQ+wslq86mD50V2pPfzBK
+//oEoLDHycXeByZX2QDv/+elSLQ0VmFfRe2S+cfibNM589LbZnzdaaGuEQDmgaPLTOh9g82Gr+e
PCY+E8sHNwQEAxl8t8aoW9spm/RwhjvTJc+Ij6z0q+sG87jHejZfD0FbFPqvWVrrd2wNhubB7y12
tM7XaOUsS7RZ9ofT8D1ESf4X1pnG1CM0yazvIUKteoj3q5rPElkJm17VOAzwRU/Ge7uDjs5aJJw1
Hu6DzA67P3W37z0wHM+g6WRLcRpjTvJ+ItUKaJioBbpzUzt2jnR1wkt52K4uxKDvbatcqREpr0t0
v+aNGc1U42D+UHaPfdphmiBl/WFCg9D53YFosooDZkL8D1zpl4vSS56Nebqut40bKye9KLEod9Ul
lay2CoA+7XHeVXVl/nhrjObZMU+Wlq7LUxc0ycyhmZcQ4rjW2TGggqs4zHJU3+R2ZLsRhi4bPvYt
M31VjtzdDy8gzwbsyW2SJv7jiL4MGzGCT1U7k4Xe4+60mYiD5SVhME38GnP+uChPFREKvEGXl+ZF
IJeDIzeBNgwTrD0GCU7hFxjkBZSaPJdygbP3DJm9CsILGnLJSUI2ZJLLL125mmtU64zP506gkqdv
dq1I8WYN+r7hAN639M0m8QTavUMdrIVITwQztCq/D/AH6ew9SvmsxDFB2ZnMj5PAWbLYDFDYx3vo
1J3RZeIePX7Mk6n2BBkvxVL3p9zzlRVdz13b8sJCQtTJkA5Y7ZQf/NZPKufoytnlvbGcmamic6KX
x48RAUYlABwS2/lzZ1uc9h/xymFquyJXgMLd8DvZxzW2WxCQtVsm6xq5Qb5AzI855qYvM5x9fE8b
UBW+QYKYZ94DobwtP0VZjjziBCBcBic40FP1za45NznEQU3lc8K7BQ9VmqTeDj6aAQrksGpEXGT+
4gThpGwo4C4wjYLLCapEnl0AaJuPq0bmnGh6iRrEcaWQQ1CnOxRR7vwjSbtw/MhcJYvdCxF5yfRZ
ReVLufH6ekz6DfjKZU/IgAFwuJTFLqeq3kmcULj8NrXMH0MyCP6wGy7kM5odu4CAUdRr8IymR6AK
wM0kyH76wLbyMwqmSOVg1jXvPsDiQyzEekrKcouJyMIdX4Ll5RahPOJ9X084qNBwV7EZGSjspe9o
/mLnHvfflnxBl0Oc9MXPORKFNtVzNjp3q1IoxS8KN+eq4hJS3/OKWVlrbWcGGfVhXrU1n0sj2Wjw
kIP6DN0y4mm5KwsLYwcaI2IpL/u0aYufmOCYa0LaQzG5gWiUGRiPGj45VGPCrWNAtarxEPkacQ58
dQv43c2ZAIk9kZMDPy0y3MUepfI71KMEvRC/PufO5EenTmRRP1zQEQbR9DUcZE9yFQ/wikQcaQ9r
GL2+w1V2aBsSZgkOb1gqjZnFBu8v/qJdhU36liT4iX8rYKMFlxS85i9wbhYujPwyy38cug77uuu+
zVizEZUQn+n1i625KfIZDYSrPo92VInP0Auj6imgf13O/qja4HOKvwaffsgL7dzJpR70dduRPIUr
gOjNN4KUzWIiP9ovswWUm5i7jHArfXsbDrZknfUj4/fn3po1L8QJVRc/4yKj30tfVroSac4lOaXi
mePbN4sWPQQrxSEyiU84YGlRFo9lEPKlvjZRDb7R/uPr59M4MfCZiW4Ng8uKESIvNmer553ENLEA
kKklU4sXe1YUh9afFnTXOfwBtitfelJ2O6cE2fsmwzkf/4pckTbEu5qByWsV71J8DU9epajlRx+0
7OaVYEuVHfcfsxUvhO/V7FGClHUQrOfZlU6mmLo7bvap8jhXvd2KW2s/subbKGJjxz2i+/G2ruTs
maJ+QG4R8BlfVmaHPTkrk+xZJPV7nGrm9MsY+EQXbgm4LYqfTk12rdgFlW0WMvbVdtSciJNM0e+M
2aJYgXaRcdfhLufTeJ2Wq8GPrdZpip9yLAjGhUGZJ2rYJxE4ZXtlTxZlQJcJciPw9/GLFK3P4LDz
LRCJeeO692t+nBGyORcsE+LwIC3vhaSnyoqqjgBfyr0JAh8E0YSsd4yDGF/fWd7K+MohYJyBlBVT
r64jfjx3rzRswigN5zaOLNMKVaUSE8TWGeboYRk1UbwbUcOqpMIcYO7sorUxzxdn4yCib2kB9lMc
6ibHtuG6jTw/RsIYztkt0Ul+8zByBGXHScMBIUNg9ZL1qeSRbG/coMmr57yobfsvwb47Tpdhj64Q
vWeXVcENKh/W28Vb09bo/qVEfakqC6+s2juYdJQvKsYLt7waws7rcXmokOc+rxkQwG1cBol+dsNa
+vOeSJYixsOACUx2padZSHL6xiamES0Sdg21Y2zKgXSaXV3LBHcCUIwt20Bc6p1OIKOx+0+qHZic
2UNHcnBXeWF342cWBoJRpuPgJ0DCwukB1GAamzFsqde9ShpoOVo9JrQFcxB6vhTdNEvfKYeFIuGt
xfITy/BDoXnzvRRpDebtvPLZxyo3Ld3iReaVmDL1/fVaobu5wg9zya6xHwjSGyYYrSbLTNAeYIBF
+0LucUG3BsPVPGiw+XjhZBQcJ26YW9F36SO6+0ZuPWAOsfNMH+NpAlBnbmWQMsZx0DsF+5x1/8as
B+k1nOP2ZWgV9xnmd0RucjKWG1l1yuHnCM+prt9mVl08sf6N1a2pjF7mFjJKDEoepr255TbBEtQe
6oUaz3/x+DcvGwyHNgUZs+5fO4pVM2CeOT8kF6Ta2AZrfIEUp4ixwbBZ5rkxf/BxwZlwLQIE84uI
tR7NqelVLHw3rHsNFZzWvCKKivMVahwt/AqPkHHq21y2d0JD065iZ6JWhi1sOraYfHNqdEjojNgt
XCRxiW5w5HwyJSYM+qBZUzyCOnD0t68oKGfzTfkId/msiT/1zoMrnEFVJ/kCZ/f0W9NjoeW6X+sI
dm1Zx1XwFy1BSlxvKdjmjPXb+gD2oFkiMT7t4WVdlKmDj+8Lh30eetCLt8mBsMnFzreMbEQ0XjRu
1iDxbHRWWvDlJXsXLo2am7IsA9fNW40eoVtIr+/GF80GWB2cAKryFpjWV2a1jS1EpiMptOwkFQxC
lr+dw/5tdi00FWpKDL5kEp51JNkPT0SG4PJ17Y82h8sFTA4eiKOg5DN1r6Xz4uwiDKXEfZtuDHFr
npGeuAZukVrGDq+RtkCQJr+OKygdUrPI4tscqAPc4NqDP8oGRAea8k1jkTMxeX9DuOupsazlygpJ
1Sgvujjg0fEwhMz3PaIKDLjwezPij6GvQgrpyZ1crPhCvMnsXcNobBY3fEBGbcjxw4WF9tq6Wo5o
EVn4CQVstYkxhqGSwYGB683BeXmyfLZQ/taQFMo6QQD/MklP8jrUaFF4TvMteo3IsNGR07ZH8o0p
KDB6yvp6P3gWOvdjmAe5u8GFAZhy9zaMx9bO3ByR+S2XDZMhyO/mdVTLM1gsXTvie8PIfsEDKrtl
dVIbmEkTMn3/ijzpsjkqVHLGtMboeJhUdMMPMTrx8MwDygbxOgoMx4VHANNBA/e9vNqrdKEe6WVu
MK8zr7lWmgeptBh7P8dU2zxHrsuiqBUQSHEgatc8gmkwteJ2hVzY3K+vzyG7uBnxkLfWcjJh0C5R
DwWQxhLnqlsT6YZ3EZoOTz2nCZG80ZHzjzHh/hVRKIU2mxBOW+zxTP6ZVpZJ8XKf/daokiCKmYHg
G7fBUX4IzqGal1FgwgkXHhPs/bL5umki7OhPJWJ/daFeh1FzXzBP6sg/M4vKHQxtQfpFLgmaz33q
i6zHgItId2YOtHOlwjo/3xb2KlgeRMBO5sQTrWIRRrVVo5gK+whpwgG39yylEqLXro8unPjOGzbh
MoQzjF5gqaIao+0YynQa4SNCSR5nvR2drrcCd1dmiFRJwFgHlE4L9vutlpDjSqKCV6SE6oqApaXU
AyayKDN1/Kfh+Qsv8n/mTsAlAYMd6FjGfh0+XPwOwIAmNCZlmkYfkBzWEWLNtEwtKBI5PfGNIGyV
iijIQ4pE4DzTM7A1VgVK1nBRrBQf1vONFU3xUuG9M+jgEXLIEpjKn0Cfk1W7gt+Z8cnGkrzoy/zz
WIOGn4BIFf8BnaQeYpJqG4Si266znba7Iu2ZXvQbE1mzacdJY9Grr5ARZHzHNAip3X/ydmbLVWRJ
1n6VfoEoi3kwa+uLM2gWAoRA5E1YkkDM8xxP35/HjmpLTv4m/r7pm6ISpHNi2Nu3+/K1lh8Q/KJU
EFajlFR9Uk8k3nWc5SSurje7aX7j0omETJhDiSNBDTMtXa/toetpZPtrlQh3JDYkbc+2qsJQlViC
UQtpl6V3EWUw2jIS4lirpEq1ck0z7Mc29nKmeFR9hV1QP3ZzeMQ9OV065uskEWVQbSdB6xwywGVN
bjTm2XkIVpL0K8JyP59u0wJa1sdgbXXNuxNBuPmULg1wKGcFNtTtjUrUl9CFyIDWvyWJXOdxGoKz
N3LCvlR5yfXbdTHoj6TLdvBksN67Feu+CZrzuYxXIlejFcCIJxL9hRoLPxwwCEuQ3kdV7JZwjTh9
UbrYbfvZ0Rrea9YXLTeOAL0oT46Xdx5F09BMtXtDK2zpyxcXpyfBECAP88t9GtXpzwRMgCdfm2lu
2o/wiiikYquPqBANGhBUXC7zERzjU9xoUvzh6Je6rzR/h/CqmnQKTStpBSWoAePhhSWuDZHDMsqs
sYrDHI7UYlEb0KhiZeYLVWJBpc9NYXTl8ubtAAPU6KY0jZWAvdUfe93cW8zqiY65icHQN/z9Eve1
xJZqq62ijKejbsANJqlmRiuPekYqbIyDNlgiLmnyRxryZIBZbpUHB/sbftDz20WK5Mle+aNBqp89
mkFs8D6Rr9Vld61uC71Q4aSPLYw+jQSTA85LryZKlPkF5zhhq8zZJC/eq5o4yZ7KENFzfFsQyPmW
HJSaK7CAoXmpflyIL4zdxEaPgRHi+f5dmgwmBkArGHR4pbp2GKHGxgPMYn9nB85AjLIMqlEqjmix
4Y/kWtuYT9Jpptk30nTprjtA+dL8jfe57f7aNia+QEsntthwBYEj7Usf5SA3XGrEKn5Kaz9vvVPm
5WMZH91uNEVn2fZTIL4EQ84EgS6ZbNhxDFgva/R11CtWD6kqKd3HtUwFyEWgyF6ANzKx+4esAgVC
L5oZRB+10WvbEwRgYZIv6YtWhmX34hqZEx4mFOLFzwoi+/w51dZ6/lTaJp+Zz6m8Sihp0ggL2mxm
dftLyQP1h2ZLgkoMYVMqFV2b7WMYhDxAUE5+/skamQNlvGt0ZnEsCGq6mnfZhaYs8gXVkX3jFDNg
10uik72sT1OEZiw4DvNq4XLqTkzK++Gg0h2f9brAGBgGayY1aJV15OwYRcldLLNLBrBfTJaMfGrY
jQKSEavZzaznpCmuliTt2RILYB17y2wx/aSvEubzeluvbW6SvJRWk2k4bAZ8XhH7ADBqCZQJ3D4U
Aim+w9Q8Hoqgj4gp5K79YhJsR2/x/7Bu7RkjgPocpEac/TFQdzQ/UMWvXLHhJwSCbrEkKoRNOwHb
4a4lTywaio580erNiUc70LHjQc8h2uRXBWRZuNuaT340WclyPed1sTzUDdewXA8z/PlvaI+qyL9P
0CPFSHg3MBCwKWD7GJBgdNzHCoR8PCoaKkuF3LGohQ5RYkzHpcUCP2C3h+GRk6G0BWN17zTh+NhX
ZlaZcfY0zaUcdI1GRfPkpFVOoGOA3Gx9QC6lmV99bFT43KVoZOHV8zASVAxYmux0dr0EPyZKLxA4
q4FJNxAyICrXgGUbPLL/IL42Wkv65yJmSh7aFZdIbESiYsYTryR9CJ46H/DGOU2gFrxJRI0Sv6HN
RLzrAKFG558UwJBEhfzEjpX6UW2aksCjPAkPOaGKKDyFXcbnW6VVsiGyFlajfdRBJQmeKq6oYx07
0ZQHgYABHPtKS3U562gu1dZw9KO8d7J3YRwv+Xrd0qSMrqH75+ZrxZSOTLt1wY/anxMeTrl10lPD
A/AdRqPr2s87VEk03nC8oKY47g5WNWF+2R4MDBJoHM396MTrV6NLGT04HzrsX8riRFGtRe4NU1Nq
jILBG4fwnYFgWG4g9Ei9DunIeNH5dhwSuWifsX/ugl/nHJbP0UjMbW9mOEP8vF/Z8mJ7pkGyyRly
JuscJ52unp9Bs+CMHCwaWelPINjJfCJxbfmBsObipoM3k1Kwra1ZjqO+seZ1ft9CJXBe5yjp0uCY
wsnjbIb3adxOG/0BPhNOUzew3jAB/ArTgPxfpqnZs0ZdmYDoF++mxjLL6GZqujx8rfKWBB23pB4C
9y0ub9hXPnr1ALO1PqaQQjirEqS2yYBLJimDb37KLEJMrp/QwzqAiWdvYrhLemiNNODKViyKy6Ph
LxOvPzO8BtPCApyeAg4T4VDM7PNIepUyXS4zrsBU0RF9NrxWkigttATcMhHDyQ6ycSgi95zwCI6O
ADKCfmcRkpiWHKlEW38bmlFkJF8rCGxF8r6fyq5en9nXsjuDqROUeDFjLU1fmTQ68GZipnARI6yw
kjLcJH1ms2mUTITJvIFccHLjZfb8j7rf23zWfnczBujuHVmSJVujSwUpxy7NYM+hJOi67zTg+uID
SdI65KcUDjGPpBOGRn1ijzk2rtK4BsYBbOHE5remtCBNQXgt97TnfXgyFuwWc4ObQRCI9IAbBDZ1
/tBtaAhy9oSBBPYyY8AiSeCg0wugXuGG/S4jgHS1s4R/GT5Mnu48RDmOUFe1TTSPHnsXbvmTgVcR
LwcwBXCYoXw9DbqcWRzR9EWtIrRMM+kSGCgcw9uqTSkO7koTM7gfKn+OXYZbc0fTmlb3Y6AJyBs5
9KxS9sYaDozHhI9uWotF8q3LAefiQJgC5fWZyWtvTwwbKGSbEuo0NGOroUmiRKuCViXmKnRbeUlp
nvf68mVinrBX3+QaAs6PEQTF3r5XNFuLgpzVO0ftPODMAgOdPMvA2Re8dqnln9QSKraehl6UeJ1X
OHY5uMi/sxEws9bY7SObrqSjw7OPmkTSs8prNLLSPdHS7WXu+vq4iB7E+DYxF5TB1bXtlHr1ffAW
f/zoQoqcXtQqWfFXqp0ru8WAvbrt2ImT8Rlui8v7QPbUz35zZmSxGaE5KSrSXsX7t7GicV5NUlV2
MGYFBRkZHTDSTfq028r3Ui2VUCw4Oh8m4Vllp2D3EqSlZUPU2ZFkZKcg4VD+MoF6swFOL/77GumI
fbVnnFLj8c6KoXaYXImJDOVniXFcWEPUCZsBki7oTM9LP5D8mSwx+nv5/C1oYDUux46HzhPcU9qo
cpij+mKvNS2RAfYTb7CcKjop0ojq+cEgcuU0iPOeKba3gIUGm8nRqEazs73EvDUYoj0vYwlmCX0I
ibRsPCQOT7Q6ubgu2zYMpiXCMzHvOMCbIeIw9fcGUo23WX9KwLTGAvByAfY4NvwAlw3tC8z7nVE3
uVu9txetH75XQehUj7U9aW55he+tRGq3jG3C0FhpJJP4kDQW/wXxR54SuaaobKBcyScuW0qYokLn
HipMH9hRcErIm1Kz0soPbUl7i8aehsUifL61n2YcQqapwKI4oJZunDOcRjDUWxYE3Qwas3WSP1eJ
Tqsp0RrxKVL8gdYC0HxqTGYK+qcOai+dl7Yi5UfFJWnYgs0fS5b2gAQ2ZsTRJcmjbst9qlwiLs8R
YfVRA3qiDRPbA5ecs+/CqxrPAWpr3ZFyZkj8lQ9Sb8IC4Mxv1yqvl1tG5xD8bDqWkAailAYcdnGU
TSpQYaNU8jp9sf1ADR7G8iArt2Fi8HGvSnLVWrTzWBrANqBg+tPCRCp46r3S7ctzgUsBbsKsTavs
Pg6YFLv+lWodqtg3Y7XLr0btKKs+b4duAPcO17XDlyJaotthbiITB+x4qpviqC12Z/WHFODESq8C
nDmDAIeFkhlG64h3yOdg64pgpE99f9wTUFU0rVv7ju0FL+vgRhhWMcehiSmr7kLDlFCRTZGA8x28
H1ZH6TTD9BuS6T/KFtdhPgkkMaKvbqFB+ZU7VOS+Oc1BY78PnNRaP1mo8X39RNjCdRWmVT/53xK0
kqyHgtgLxNhCrdJi8lFU9G/zmIiOv9AXqKEYAIYghqlnLHCUgxdyQX8yvCLom/CJ1mSqsYtJLiDy
NHkYvRvyta3rY89qYQGFiLx5PuYacwzhsyJnUoedFCts60EHGd2lJ3TYVDfeEjo8PdVaDYORH5oC
kvSnQMtYwGavFzxjrZtMzoWAmEdLFesT1iemiRo1PZO14sa8LipfQL96SKQHr1q5IAcSLwGxpS84
BQO7ssqxEHspqEwZCuGbqzet5xjjQgruBA0OeQKWD1I2ZABgYXuY4KR/R8WDoKpcY5wlT6XNHNeU
hnbEBgDHkGXeJv5I8GLiuKwIsDUmP5IJ6ZPRXg1OLOdLOs/B+JG5B4Jbeb3FpTOJdGLig01LHi9J
lSsUiRHDedhzfJcOC9Mn3CkJveCvLGVSqo3Xt69Z9IvNpOjv9Sn001v813voX2FUSVSHpAq4NSep
3H3skffkGNB4tP/qAWuy9DAsZWHfwdfCdPpGMZW00uGdqCyU2Vg0Kc65htnsqzFr/C+XZWUWKM2K
3ffR26A4i1nZcsxoTDI8NJClAYPUE++jZlxKvPAcZ3it2EjBTZ0ZvNRQRf4EtNG0Tp2GMbR9NXom
IciD8p5X96TDVoizam/keXzdkAe0Z8CoIIxvas9azNdiRf14Xfu4uYf4xNh869BlZddf9Z01htGV
BZlU55XEuc8pWYar1ChG1Emf3rDrhGLJw/uAV4JNfsOjwcdtgcsBr5fuajHiUJE8aEM98mxA1CR1
9NdW8LhUCpLsvEf+vdeqHpyD5cD6qHcBnhW3zlbaKjjEiS3Je0Y4PryMUG2GxkA/87rHj5hvkBJ4
GnSLoo6RqP7Rq1v+jupNYMaS4MPyxIxbqod8zBuB7wuXagVfzoq8UGEuA4wTfg6uAZtoMRuyiHCa
WO0qexi9TnYlfS/Jv9qGHwLbkjp/76LbG30GCUTqPTVD1WVnuj5SiKgojwsgv2IOM78OodzD/zYt
aFi1Z9ecpaxLVQN7DClwH1WFCJ9v5QMY8yuHeuwJkKDOGhXOaVhopnuMRCeFwigzpx+u5k5DeDfO
tuwyvPYnCSXxIBciHgqcdIpJxzhlnpFX1ixPJDiSTCsYLawCkC1nWXvr42+C4K+8Msc0TKjMNn6E
jDa2/yk3JS131iItwncqnMFhSBjhk8PTRHxp1gK/lJnfcOH5hmr1EWzn1526AQuXLfj2FZmXURnG
uSekP8+1oHf/g1RGTdataTRl7zz8/+r4Q1/ha5Fcp9kgQaz3LIkm4Vw0REzfbS1yYfISAQ529s1e
bHZrKLSZMaB/9Ak5K/3Luyk2AdWvDAYuUEVGqmLiQHQ4cGb6Be5dMY9bsd16UrC4tDR5wZG9SDJU
47HIt719vxeibd4Ah6EdwDbXPaaZIt/+9UhkWFIUMd3TelcBlep3utMn2sngDE7/CNJeYrFSI5eo
y7lJC6kfC4dhR0BUsZMM9nRw4CTkNyOMpegKlclc/dEEjMO+agy342cBQbmzty/78iA3aG1Qo3KA
InOEpHxxkM8+prhGnU6PtVDdMe3mZcK4wIwDRpbGAZUeVPjpm2LDAa0yNoHW59D99PaVXIgueYCO
7sI/hJsvBEnvkpZvcPINfpWOj74by9ayQhFBo0EVoGKH0aqNzQFsRgY/mmPgnFamkmC6oC6y0zGn
fsKGwYMox7ALSknKPPsmTXMA/3Lj7wQrDoF3qvZ4+w5+FS7KDXB6mRgaYi6F5eClp0QwtHUbWn39
WG9Mr6LXodEcgzwgqa1jfPB+Z+rxK5XVwTBbD3hzAW8QVxekf78uuaL123ro/fpxjhzBQUzIm9Ny
bJt8npg4QNlvPuU+7kGvPpI8fuDt+/3HkjcxZrLh9pJH8uq8S2kppYqIJb3hgUggiUwUQs2XYGcQ
VGFu8RbIyaXiUy+AeCDBchlMuIHHcbV4MHbhUhIrtaQqWWC44WB6iPUqDJ472+FTfnPd5kXCKHsV
yhTVEEop3fUumnoIyplba9r5I0Mi6vYH4yfiPDkYG38v82dOQHPrAzGLZcCcFsJdBiG10WjfkeNz
0SkKRKpi3A9/+1D9y1XkmozGgzON25ZjMm724qWGdtDhtDpOj0aJRXZ7s3MAHbfGjP6Igy1lPNpE
1nY0TpIlJCApPPxg7OVMVsebzcwZ/omkmC2kb/TEPG82NGHLmlQamvQkStS5cYIc82hxwsO63+vx
VA8l3ZiAdEDGVC8g0AyZw9Jpur5at9riM7n8NFGZDn8uNDUJvmBmwn0IYX66r32CI7oB22MTiOw4
MMocaiumrcRbld/VZDEMIPDM5nFPWZ2t+mJYlHTfKIrl7KrXHqCtr02tLq5UFpNCGaAxvLV2mL0t
kcrgmnktG2evVmF2sZyto1a60spRNXS7nSgqQdEcGkT0ECbAErBOdZqvZVRnz1k8QGBRNKBQSc4h
OFnruTbdqWEyuwtVvbnhOIePRpuapkEM+ZgF7uIJzKKHSsDJhZWv7T7pSClDoLsyhiv8RHcKt6UT
VhahA8mzSY3vjgPXLGFmASkd5LmZoSXSbW4EbUQYHlCK7GlMhjuw84opowi4CyxaSCZ/s0Ek6v+9
6+1aOAxYHi/T9rFMvdwgkLBcUzPS9FEj5rGj63iSTo+7JB4VEy1mgNontVMqxQocYuADAMVgkXSn
ZdYJ2ey/4ULFCxxWLAy9A4hmUaIEUWfaamQL9uiMow165zhsGdpvbuYySrK/iVDUhcggCJeXYRlp
hFPFedY91CFACVWN3s0Ys9lYy6WMK1EXDjWzZ6RLMs/remg7XY7oZoMyHNYer2Jaq55XGzeDVHMh
tJLxYzEO/O84k6XDPWbUpvM6MYX+d6mUhKNf3gZzy3UPHb9H4apzQv4a5jXNBiPy6+wBnmznNKdg
NMixYch7qMcYopEGrIBi69a9/ej+EYpEI4FQjtjO9AgErr9+MQpTDQsi27xvfHTw32gjcG9mOAgB
GltYAtHb33fh+Ee4k4DMiiOPBah3Awncf3OpypwWH5vKcx7stJcmydjEsvtZ44ENeDBXTYOhutZa
sFZtDMh/7szhtmWer3aswkQO2f2NxcuiOmld+SOoGS8XYzc1yl/1qSM9BW3SPUAsoKW+uOrdieOC
YVmRPv2o9dIurqGdemy7t+/x8mWyDEly3ICpKAbH0OXWmm0oTEwQ6R7gWkhLDg1Wa9HJoNeaX6c5
1uXitbuKUODtL77c0zihMbmcU8XGm8dlZ//6bDVU/h5FTf5g9RwBgA+ozaSHa8ojQy4tYMfaMpZH
pn3BxoWWoujvb1/GZcLpkSk4HguKg/v/IfsMQIC1CNvwB1Vn8f91XgXKDMFioJoVZnoXb33b2Q3l
0ibo2tW3sIim7tvbl3IZGDxOK6bH26KNwqL6UihtsfMT7GX1+6zJ5SCFEynVIvJwlnnS1RRICpe3
a094DG9/+z/eB3mbj7ElViOUScGlI1sUMohOb6vubmG+Ouf8sA5kOkFMLwh5h+izXvf4gsqZRatw
zbevwZKX/vfQ4jNlyxYpLFgea/LSnI1RhGU6V9V4X7Vj5zwspqeXyRn7xED7q447q4SR0GTkmQer
zcfsryQNmHPLlLoyS+KzP0NgI052M8NhighhbYznxlaZR/XM6urdQZCBbgrBltQ9dbUHreVkRoB5
T0xFpDQ6dbi8jF/6ujGL+moeLb3+awjAi76kZSCHXL2JIYItoawKHBq/1rAlJ++8jiUV0ZosgjRO
yTCap8pfem860XDi7H37aV0uXSIgZwnIJ+w4FFyXWzcc6QE2WZHejxmUAtFRJ3rTQGR2Zx1pFs27
Yjl1ducww2XUkiZagI2Z2OI+uGbRt/lvFtBlJPFJFFFP++JUhlr1kjoyVXOEFaYd36uaTfHiK9WD
TLYKZJpDYXu8/RQuDwWfxcqDMDaxGHqYixhdw/rUNML4HXBPgmiqYSYH9bkC1+EoSF/k7W/kqPt1
mSLSY6c4vmMRt3yfcVm/xi4cQFvEcE15t3S6iImqHNfOF0Zbwouoaep4+UzjYYqq8WwCw5OBMOpM
6o4xKCUpZqCQ24zHaIYgX541P1xFIoVZGAG4jSpRHDhN65OZoURB0X1aulhwd82suxaf1IY5SsTo
tivNJ0SU0rdTuSaToAXK1AIcvF/QnAl8oVAeONnSrvMU8qAaFPRahD3QdU3ILyl0cSwwn4GeUxoD
6YWva0DBgYKpx1AnECmhCvJAuZEYNgl/6HEkJ9Met8wyyVLGImieFoeIuIWq6ttICYwjEzna5KuC
OFV1ZWoz5/buBbV2qVyQnkNAoV8Qm0CyR/DNsYOEFsBWu/Maasz4w56G7zWEa1XSZkg23aiR23nZ
HzAgxMwGf5k1cl+HjcTIBL5kZSCLHZbZn/vKoA3oAcEwyS/PMHGJ+pIp0VQ2mvMlYvqNPR3TBYvj
5RAOvsfIUp1xdPk5LiDj9OcuZTzvh3VaI/s79lPkP9iliATJ7xZ03NdlQ9slud65ikMJLoscJai3
CmYpAQlxW0Vv/+AmWAK/DDb9ivzo5Bmo3A4OCLLQn+bKwFznkHgarNJD7kCUMRiCwl6GHqQIfrkZ
MfLZpegax0NhMZbqeVpRd2g760hxI1XfAAabvK4ZygxPW/Vvlo2HtDDfhCWDlNhkxGjWrKDzTWfP
vGOMeKWBuGEZY2kVLllnvdhmc4M0HfnLoZrhdcEGUd1tExCM37K6QeYhQQKIOpxoKdp1pn0lkpun
GOlX1fu1LqFF/JvEZ6/0CsxNL6f0bfSlgMMVCagIGxq0bEmr/+L3aeu+XyGAsWf6WJMjaWdgditc
kmPvFtJlh20kVMHEWuWP1GSmEaPeNZOzjf4rgMRY0d7mrxRJDa8EHv7q0OKE7IciGlBdKdxG1yDn
7BxLyBSjkpXtPKRwMR2slxmkN5UPuWo6q5Lcra0O/4xWbzOi7zAQIl4UENttTUrm2UHsCxDIDFdV
Ui7daQrHoTvBl3DD+ww2poOnAmyIG5riwivNfEugN2dr/pZUKVymqlJUK31nbNr+NIxPJgw4BzVU
7Eb6E5adlKwVo+d4wJUtALNqR0KJ63gdrdNK+MmXGM4EFBDZ/p7NtKy7dOzZFlA/FvyWsBNFpwdS
bbLxzQNohjPiN9biroyqyjDW4GZP3nAYo9cMQdf1IXJP7eQ9OWUkRcsEDSf9OYXQvbpzVTELEPy1
t6L8Fs5qY+DH1AFuMhLRnjOmRGvRYJNuL5HPkIFHZmNTjB5axdqDay3LTMu1mQ/W0Nnzx67261uX
0JK0gTR9UzuYEu8K1l48NkeIFnl/LhjGsNiQv9yZKUQtz6b+AKRWtHfodb0erk2xNCxpRTTgGCeQ
kR3KC1DqQwyWM+QCQeNWtgU5DXb2R0+RhhyllcXPEQjA1XQnrA8lXWYb+zvFENOqVj7PRrbyreph
7nzGl60XKeDkSqNO6WcVD7jkNGExr7bmON13hVF1I0vcOI2V2VO7cy430BbSjAYbbmrw2oLzqA3R
BOUBZERyuKjgfcTM4ZGK2N5kCmMswT5j4Bl/qE3q4zNnO0JxqPP8faz0laq3tbc/lLow2US1PUMV
GG66DP1EK7sktR3v1IvH6KMDsIkcaYYUKapb6GB5KrOn0VHN4cnirYb2zQCHb172C7JxWI1P6sjY
4V5PKXQV6V+dcomG9OgFgojcVmRtPHfVI19jb81uRidfsj/VKwIxk9BgJJYQjIA+Z+hsTDWIq29K
Jktgqni0nPNSRrr5yi5RvJi9iTIq1eaioiWSvbH8VIHZe3/VxmKP10zRJSJ0FAQ9Fq0bBVRxCrSh
kTi3P0LHnSgQwxF6Ed8WMD9M2ouCmzVDaa7fadZV9bVm5TlD+rTG9dZPsTgeoSHdaI5FMEoRFDG/
a35BXSwa157Z7evr4mEG1B2cYCBOzBETW9wDulRAmZSJgx16GytImiNQtaCh2YIrKZ+zyV4R5klt
oYu5kYGnCe9oUt0vultL9s42K91gMCYjAOflatRNhJJPlP6T/cRA50p/Ur0lH802p7KyPvIyZG3z
+zUH0KEH7zLtBjWu58jzb7G24w803izFbtuflWNt2OH2rMxuBLZSLRb1ri3MoKBSFK0ceWrl1Rvb
lmyXN1W3aEfubFodZNwxwjTntTZw2fjJ7DWsyw6YHguQtnMt4m7kdhXSpggxTLGiLwpwUXD9C5wq
Z4D/h+Mg16w8KYhsXKuiK+9d28p0JLFSZ0WomuYw9jxO6sGEVik9x7LHOSe27ZbLrqpFlAtDiibh
f8jOQ5NsAnRF2CU4SckX4Ek1vXSRLdFXjyfpLque4E48ZwiadDMrxQBOHNpajwYmDmB9FZXpN7d1
09J8TaoU1gsON73tRnsWpzCiZtDkRcxbXpQtAy6ADzBoQrjDMKf4pWJe0IGimrQrYlE9U30wTCb1
g+KAtgoi0JERon5rHhXtvqtHKXbQwuatj//9NJoY1m/8l6Wk+sfRqQ7Fa26v3pFc87qzzrDRSlT9
kJ/JGoPYeccBUUC5tleGFtDDDSBKQNynDQdor7qv6YQcwrhPypZkW9cZj/Ziji6RAOEmitcrt2Ny
XP8A26OH2qiA5/2IBIsQPIERz0GYHMe2sLjuw85wBP8QELSH2oKORRHg+A+YAf2GoTlw96Hf1Lgj
v1orL5qW3bbsSsaBMW1EsSz2qJ4t0m/bG7lRyOSAA80PaO2R3TsskIhuPGwNcyav1up0ez/N3jzf
2IhguHii3yQ4Fcs5g0qFPiNqAAGe9ttgFJCQVqMlF2lHqbwGNNsm0w28lsHtJIWmrOCuTgVNZmaG
YNfuBiRMm7acw1uWmOKeOSPdwqtd06IeeV/VeVVhd5Gn403gp/REmnKgvNnjLKK9sf6ih+R8tzYT
q+oRNgdSQXqo02oEnAKoITh9d7DdMhMJe/7WcG6aQFDpOp9SfX4PtUvSWGc1BNK1GOU0v2Qber1G
Fd0ChWOqZLBfBCM+FFVaGsaRCdkjfsX76TXGrsVCLGHO8VDGCST5NcXQc1uBrpRIwWrJP1EliFCp
cjWvS55nQjg9hwTlhghtxhDg35h0IVeOnsGrgknPiboTk5UAPegr0Xvsm1B1/3ZKFH1n7loEzYV+
7Mn6+qv9zjj55BWqWxtDpiZBXFUdm27KzfzzWgyezmjHXiiC7saMIBZ36c+dgg9jSGIgUwelX0gh
wLE21GzPOyeO5F/2hZhuFgAZAlM6GnRGuK96HSXT19UhSD/ON+ejjs5j+eboqbD9lwpw8qUM4rB9
2ckOneMLo0iPCwaSXjVY0eR/4iAl77HYuk40H1n++xrb4WZzlc5AXiRSRuz6j27r7TtDT3xiWKes
SM5sk4e6rStfr1hXRHN2BMapcqGKnuA4De9/SSxJ8ZUPhyJoUFFzSnjRGvvPdTuVSNDxR+J5howC
53tJLAVWTZXtJ/NgORc1nx5adCTi6e6HFq95RmasZIPVN9+obQ3rPY2fWnD0ZXszsd3pGRiPmbHz
XZEKlSybLL7v7wwGg//pghF0zWkPu3oqZE8DKRyX37qjKKVUzrYzC/3KyNiz7CppWSC3y4iJmt2Y
7S280XH8jNagYnWSLja0oIwtl9yJLwgAWFTqPNQdq+c398+hrBY50s76oOAlthZaJj2PHfjauZhG
o6dhdbPECPIz+IskqYSTrT/V5XEGnSf1hGOqkqaaXc8O3WV7o7b5vzUqmMCjI6G4Heeq4Dqrlc4D
E4jsBkvfw9wGTfCxwBmGRVBiK+r1JN6kvk9JapLmxgMTZaSlN5My0f4ym4qtilsCJ9KuInMx+Oa/
2iiB8xY6AQZvRx+fWb+lROxLpJobcRi2B5BPujHjdsWUgdwaXc1e4qEWS+dPjZYEs8ucm3UYmZ1R
DjNxINFqaOdnV9Hw60wXbrqKbk4LEtEe+9zAaPWcdT5wJTOsUTQ/tjB4tXuSbi38rjSIKyYHnJSF
Rn8NJcZC4AK1lE2uAMKZSebtPZYySVlfK0OapVlFvKWsUzImYtndNS8eXwRQoG2B2gE2xpwfcMna
9jMWVvm03uUrDVqG0IN1Fd4TBu1l5JyrsKvG7tSKtfhHz9V4iW/jXBduWbQFAOddB59mi44+oxcu
Wr8Dcn0ntKP4DrsWjCyPjM9kHfphJTupLU0JBUvHO0R6qfAghqVJtr3fv7ISCtSm3K7t/2w8pnzR
X1W9IKvCBOO//nP/Ypk2+ct/nDmx+uXD8KNdPv6AItv/13/ym9GPSn7y//cf91GVv5l8aVq6B5D4
xuTLH9N/HMSkfkr+yv4+/3L/zX/Pv7T+5bkOyDgTD3CAQMj3P/Mv3eBfOl0tC6sv0/dga/B9ZQWt
mxma/r9wqmPEBTYHuo4fGfypTs2/tO1/OewmtuH+L8b/Zv7lRZcD6pU0P30L9Bqk+B9U3VA3ai81
/O6mwcADRMAtX+3asI2TZnfhnbnY88vsadWff3tS71UL4e9z1i7Aab7VAkult+rRzbOCS8QWa4J2
tOO0vOGs+WnhqP8H9r7JFTE5fjGLMD7/776OB+VjIUIzx8MvjXbGrwBxYSSNkZcB1mAOnImDiefL
DePa04cFz/a7sM+H729/4eVTZS4pGHhAbxw+hONc3p+ZpCF4f5jdOEwbPy9D3j0bRYjfbMZfHhC1
BAjfABXe/tbLpyptYGtrxkJbYZbSxW3WaW71jQNBf9In/7RqCWPqhhHXnCn3P3U4Ol29/X2efYG8
Q++mm+8FHnfro0+97HnU9diuLLCUOrd2vzKNpf6MDUD91A+hcxPWflYfO1cf76KhSz9aMGAxG8nr
K/oVy42tD+9t5gcCpzIZOMsROV0zR8c8NkTgO5ypjE+w+DIHT1zGQp9iBpvc0afPP/fhaL3v+m7S
TqYz+6gX0qI4MggieIgZxHZyG/4yzUxswH23qJ+6yHJuGMqVMz61ce4jrFAw7SjxP0NhqT+COq5n
yy/MT3qjEdXtOLhOCjOYmWJZmZ/aBMoxaST2PFG0vC8ZZ3CH9CLH8AmE+F76Zp9wOqm+mtqC/X+R
1E/t3NViXVjMV2lieB94huY1k+k4HUbevNVp1m2SdA2kHK65Sqr5feiQRayY3v5Bo9e+w/HUukMg
VaFYjOCxGCHSx2VGVIN7Wc8SCjDYwiy6t69mjBFvPZjW12kcYFdccHClxznI+/4wL1H1vDIokiGl
RlD8XCNmdB9TsLqr0qOsYyJ1WRyhRLqcJnMWXCP34xYr1i/iNWZftZFjLPcLrcEveZIY1Ytu0uw8
Z4DvYkgF3fcxH5tkOWHOWj1Hofzjkky8LpfGxNfJC3UPph6uqudxzgEPESlPH6AKonZCc+p/QAns
f8C+Kp+vOPN45vlcLGfmTTefZB9/aAEBcZ7VXPdTC9WLkVBB3L9AD1wPwdQb9xhvlFedt9jML0iT
/kwuYdinrip8pqYzVPpu0CZnOVRWl3wIkQf9dLrS+zS1tv9kYJz4cYzmkDntcfLcA56jFTRwpDwk
jRueMfO139V16hymJWeCdV53zVnzyuKzXWI0QD+YYXnASWM3XvtUIj+mJDGbQ0n7/lihgq1Phm7T
Pmbek1cea92K0msjGYNn3YzG6MBsoPY1bYz5PazuCqeZCSFuBQ56DJsx6U/IBPzPZaLFxp0xpfPd
GpZgsDPm/X9S1Wvfu4Bh6CRO7meoIcW7rq/KZ4a8hSz6wEuZQVCtYHejg+dgnPZ8toWQ7rtujPar
3trzOagT/4NJBfEMJhhcs2Dw203T+ilEMnjKdNP4RPKdRFcx3AdcO5oJ1yN6aNUziggtuOkC5MIU
xKw+puTO77H4YHW6TBQBebS5LcbNspc5GgfmqKXBgwHM9y4EVXtqijyJD0pvSyfFuYG9Zd0twAkn
OncrHN3UeTRwtTiPmB0/EfOY6YTBRve98aoJyeWYPRdO/jNp/f4B8Kp6EPHoH4rsVWuWc491To3/
nOd9sPCsMO6gk3EZRW201wNYg32IFp3FNtbs9aEKcFqevNo1rrdwaSZl8i73e4pha6BfhAPZJ5yQ
gutCZ+Pitefc1COvzLPnvIUbsVB2zejUGbaAYft6xiolj2753eaDbaUMCA4xg73nVbObYRF+wD/H
+JQ6RWTcTcwnGQ9RJlc30m6/mZ3cbM+MXzStI97wxQNTSIabEN+TQ4lZxFM8mOEfIZjnc+LTLwTN
cXxOsZotaDgMdDz2fgx6axFXojUJHvwWQe1hNDuMh9Ig+IPuM8EgddfgD6aqVM/wfrGudRgpd69h
H9SeIaen7sHEhfNdAZf3lvGl7m04Nfq3tWvbL3BImVRvIy45D1CY8eQyaDbRr/fsL1OfeWSezOeC
kqb/xTRdZhd28Iof9KxovhItLeu4oAW8T/2+OqHWiVMiDrQvlFCTb1wHdVDPp75e5vcYEaTLaWJN
pMex/G/yzqPLbSRL2/9l9ugDFzCL2YCeTKO0KmmDI1fwQMCbX/89kWR/LVE1qTPr6U1VS1lJEEBE
3Pve18zK9kfw7QpTja9a8FixwZ4rnDbMXMReINlut16VLTNRmqSnrMtk5p0Je6S3KwZLOBwgAeHC
4qbnsdpT96mpU/mEUsTbZXae8O4jTSPgc45uYTzwrPFodAMbyMJaWXE1rOOh1e6XaE5e8qhhOTWS
dzrD8epm6id+85uVkIvuA/Nfah+S6UTRxpDijOG0oBlaec4IrcyYViWxv0dAM0Ydc5zcSFEkRzSl
EBTT6r6Bc3rCGygloatJNhp5eJsZpzq84tW23mMejjA497c2GsD1gAMVzri6tsdhqH8hLwNrR1mS
oTu3LWqHURxDFEaBOzg98yW/3YBtJRhPLunWyKN0b054daah6x1pE7UnjGH6F4wH0v1i+Vi1mku6
MpLRxYkYZBqjts5APAGiEWiNgXaUnmdXwopc2a6S52Rpd4QmY37UoqE/DOGcbpktLVuX9ICbAubH
55TGaLN4wlnrbjIWqwFg5lE47bIyq6ra2cIb7TUpqDaZhyIMP9NrZp+ibFBGFToWQkbxeQFEeWz7
0Dtms+k8SbONjxUS9ZWH+wm2AqBJgdG37W4xbaK0h/A2r3LcMtC+tfd6Y0TaTtOyqDjEs1l8VB3t
eCKYWhvZff3OvvUAypMNpzlrsmxLAEqZ5c209lFoMy2C4ik3yGH0AxOZ8ujPTrV3aKpk0KDvxaxx
tt3tMpfxPUklughI9ManCrODfoPtKLkstclx4JhDfERAOt04C62wN2n2/dvL5A+y1HjiKYBI0pjm
BkJ5tibhJlujtwcryGeoIqVi6wamFvs37iCqmyGOklOX9kmACaLQD4ThltlW59EnR8U7P0VNbu9I
5k4+TJTd5V5r/SLa1V7PfB0oRLsJdSdkzmb4BxfB9EvGGRShFMydlQaQdQrzMqatFEl8S874Qeid
t2oc3BqDLirjWyPU5oNphf0u7YR9skjLhK1FzHpA2BzEoXwReLXjc7BSgcBB3bvFykZ6FQbN2AzY
bevLKjbsbzP/tsL5f08IxOuIzHLrTW66RsgjsQVv620cL38Ps/ORidP8wbbQgp5akfd2kPkRxh4y
hvXDPOXkypGDVNgqyqeeCZpDOsBanO1TN8ZwuTBfDAbHijjn87i3IXikOLjgJjhpHia9iVxO4GlL
cz+QeYHhpB5lvRv0yygpqzI2kQEz6OFDLCTWxzDZOsTLUz09wa/R8eXCQ0bQ4RAPmSfFphZieoG3
MrEJhcVeL7T6biq97CO+4T+U//ud1zk4A8I6h9nuthiWrq2EYCaG8l28Z4iByxa11RHySUWsVp+J
L0s6z6tQSwihmSpxOzYGL1AB8xFRdxgHIcU2nsNaUW2cJstvhnEQ+zwnxUmrfG9T5JH9KdI2XTI0
R0qM6AYlSn6KbGs89ngzyADDA3z1+e+/ZNJ2jhMY0qfRiM27KvUcYp69pf9E+kK1tYwufah8WDMB
qgnr2M1Wdmwqy94YjtWojcNxf2gx3DkMp8zhNkJHcsDD4EcnqAdtscSfYNO2UGgT038Iq0Y3N7Wt
TT+MGqvsdQ5xnMDmefSxyY+hRzvUlnjTE6HEwHFltg1eiqLiurMwN9atRSxyVSbbCrD/sZpZS7hl
I0+mpGvBtnz9UZ22xC97Rfh9Rrq98mIZfc27WXswErf6UWEttMUfz7oBrI7RSSDlPI6Ll2w8qy+e
JQPiABqw98XDlWkjwO52WaTXbVDZjrkEUapXTwClYpuiC1yCJGzyHft8+L20hn6Hjjr56rRWeyA7
0936Ock+iE6D3llMsulDImiDchhLZcdV82SSZVXw6rEZAqZDx2EIYDn1MwLSJzVGpCjVq1VXuDY+
3OawMhdzGzLH3ufeMq1CuKpkl1cB/118mnu/OsE3vIdL8S3FyuRbCItppblGus7z3roxWOibxoOv
vpo0yzv2Mi3W0Vja68SdbOp60WwtzAsh5oixJlbONm78xXVJ0HI/90URnuTcCzbyDCfsXtfLQFuS
ap00Mv/LI8fha8ISaYMi65BV2kPzXGJXouNBLOI7LdKw5c4j/UGb2pINVVsOetTYu5Hyai+G2vuA
kHavmb3+wx1s7ZGX2qXZaQzxgD+edXSdfIYbQkc2KkDWlyWorDeYH+2+oeWH0k6MtC8mpwisxaUy
XvCmGwjWNc2PBBtQNvdM3z6QUW8fBtTS91Y/yU8DPM+t1qQ41IU6g4kAl2MikQEbnpNppuvUrN5c
ybHysN2QcsuMjfKqdSq5XSp6TSun2rGy2HtIO18pNuvsqcJMdGHmjfHfgNx57JM7UefuYc6mev1+
g36V7iZUf24aKg2RCRPE3msJUE0MsQaXKt0Dvo8f63EyPw4Noc5icPWvklZIPcs0WRc5PD2I7T3x
GArQxupdZEciNGPE4944HZo5rx7fv7h/Ag8soaLnsNFDJXStEm+WKW27Lkv2ZK6zFcQFItt1iDlF
EZh++rcrjfY7eLp9tDhKNvqc2ofJ7Kjr+1puc6zJ4vXYT/Ndi+vP3pCW/zmtbJ6Rb5b5K+IchH1O
bx3x9rEPZulbx4Vkp6MWRfaR3EoeaYfa5ABUMn0YIZCtYmKK/n4rNt8+yx34QQzdVW9E0CoxTZld
riNvoltI4UizlaIHdoNMOtbh7RlXZCauGawKXJzJTHr/dl2BO+pRWjxQH2olcIt7TfMvdIpujep+
n5MM80H63ANE5WIPxsKwz+ZL/gHduWIgqw8EmKDpho/uANOpC/qJbY/mMiUD2kn2Ycb9RaXOGBiP
B0mZxFZseFEBUlMY8zp2J/cPoRT/8GWF4hu7Ak0G6AjA6M+frRFv32MjFe/fnn8ZGQ2duJXf09JU
9yPyl/NC+T+AX3+r+rJTaDii9/JnFNqCn/w/g9erL+WX74C2P94A9cP3//4v9fMXyFqY/0Lf46k4
SPofx1LKjvFH2/33f2HRSNroBaP2rH8ZBKl4NqHxNv/mgA7+G6M2/gUX2sL9AOYxfyH+NxD1W+rF
f2joeGF5aBg9XbGZ/wlN9eSiYzg2Rk9Aycsyf4UUiM/JemjLoe5eCk/0sCrcehozjUSc3pDlhzSK
lX9LTs/cjjBlhJhZ77RQaUv2FoCzfbAjLXL1HYGAVvol7zJCUnfwaVROkT/YDVNYmOaG3x7GJhFp
cWtFYeaV2F+6Wm4+cNZ7yZM+G8qCWWTajNdSWFJJcv72Jq526egr89VUuEzC7iLm6MoQ9XxZKKjg
8GzpLjFHWeOMiWvVE5mLpkm4QN3XVU5yaJvqUBVLpczn9DGwS3A36eIths3GU+pN+Kc1d5Ub6ypk
HGU+AnH0XYg2r+DjgumMLG0v+mg45Afjjb60gxrQm65Hx5IRtsqeqRGTCFViEgu8hoSpZjltM4l9
xeuQ0LaaVCqJsrHpCiPEjKzvTISCm4iHQ0zUoHUR3VljLaKwA6/r1Rgr80KLm+0UWcsToIhCog8b
oRjRvUSRW+mAglFf4xybxqPybMdOAGXkJtJGE1CmjVLle+vXRQjNAQqIzKoNOdA62M85djKjBXe/
N1UGfmlzH7m6EuN4fqHTMCwz91OM4w5+4edUYAEy05l0SFnoPmlWxtB/7dZhpxsnfAexQNtloVbZ
Yss0Ekup26iUqfze6JZBljL1XTW56xQRA77lNZZZ/P66TjTSDPDcLLkJWQeAPaBhopLmR4StXI1r
aagwrKZGE6zt8ikxtHqFPCLiR5K+T/ja8dvM9qdF/w9zmF81CzaPHNGYafue2uptEs9+3WebrBMO
JKHmdbGaKXIPjObDZTzq4AjYjNdxBUmFtnXJ5vFQ9Xg5L09al41dumecIZxs//7l/HrkcDnwfgwP
Yy3I/Ay4/KvLIYK5A3efwpdWJxaOPGXSVKZ4bTijMomRzqRu1TDGih2mgV06ww0anTJK/nDWGr/O
b9SFsPvhNsKgFRmwdy1tW7wxSXvZui9uRSBHcTfA7R/SXYMFr2M/+DyQ0AkixIE5Jb6ZLXUF27Ue
DF6thDDzcd6GC5J9OHqkfeGHrByqOuMeZiDcgfsCKa33tbI6PP5Bm0LYE16RGc7D+3fz10OUL4HX
stI1MjlmL3av58XUEuxNQs4vDPZTvJlJXbO4jTaBLP68i61WEd/JxGzxcwne/2hm0rw5P+3ZbAlY
A1uOyaulPICuT3AKc5vUMCt6gSLXz+FzPxTKhBrFgbJ5CC0yp4nZwRecF9yumiI1V7rWDn59Wy5g
9NadNBcVjhknkVqpF9Zn31aGei8iLUZb0hDBhAdT1RemKXZOX6rtZBziit/pNPXsmsCTTFJI8h6W
wf8UFgRJy0dZ+imr2I4bUhXpCXpcibYA7yp0DPpMiJk+YgU49/u6bZXxH8kkiqJEXq0ieM1DQ8D6
BjNitSq1JFF7UnhWBqBaUh5bDe7XXbtKXC9uyKXGiIxvYplwZwmcOf+WAZd5fjV+ZIrmPZFtxSVh
hEELjyEYHj18vQknYngziQ9XY6ramg+3K8Ow429hkvfjfGqtKRwpyBxS2b+yiZbK5htJMpeHmjY2
5ZqcIMdYGzLBYhgmDIRbeOFEz7syIXsWJN99SAlK4pEgh4iG8EFmfeloX6rzBpkriXH4PDEcVt2Q
0dEnbKyZAHfxUc8g/Rs3cIhVxipDpSqdmmDRWA1ssMugvL5HDEa4akJ7JN/LTyOSlKFvq12NIG91
neClxCWUslXnaCWIE0hX5mxSWG6BPXVwAQyTsUMKgDX6Vt9wnMNCctJO4zFdfhWCwQ5HcWYu6m2a
kK1PjwVW7OOmjrJ2iHaCvM7OfO6VQ0a9TQgAS/OP3TB6Hnw1dzTS8JjFpXrPxo6JSn8ySZhmjymx
Z+SWvr82xG+bLt0Ya48jiKOWxXFV3MZOqLfL4nWvVU/CXLbCBcyvS7Jp3vY8rW6Uh64zZAsvzSXr
oioZr0Sby49YanhIFFaKa9YD1AJ1WFuVqSwnu9FtxqehCfWiXfd5A2q1g8Ki7svZGV4UpKTUTCqs
RthPAJBkWiR4w7WyEk9dJcxuedRpzKJHFNu0yzdYQc+6sQTClHg54HP0doCeLf8qnew/d3f+P5D7
1Ptdnd92AzaKqoK8VO3Zwn5T1oqkGHgPcH+uW+2DxIlfl/gEQQPu4o+X086YTBUfoOGM3furWvPx
/l1pcoZA98DxSFkVkFQAurOK7DTSdXztGYq4N1FPNtE3XWjKYcDowHiGG8tYeqmttbwjUOooMhvj
/E1RGEs5ERpvEB2yzYxQLWqm5ouZ/nEX/HUT9Bj+cqjC06CRBKe91uDJwrbYk0T25DqLXenbArtO
qkBThXubq0tpCLO1SAkZYwJXp+QkpbEBZjBbI7syIAKAxP/ydPN06nXqehzGTN/8vdBjDmKKZE6a
F3E2FV4IHOAe5AjPWv+2k4OQj2y+XsV+3SGHH7/hUuLKeTeZ3hhr32a90ymISZfuLWdnjhXwDIZV
OWGY8JXLLiXkpAlT28XbPnXsAyNBius/hAdeHdGeAW/+TYCOahlbx+tVNIkRryuzNp+IE6ojjei4
CY/1FCDYMaityzCFr3gwNfjHctfMOkjJ8/sL+apa4QpYxwaCT5hZajGrv/+pQV4awKdxqcenqCoz
V3wcicYV81bzDUWwzlwrG+YAvJLsxhW0FPV0Xbew5ukP7Jbfr8M3hYDygVWBjTT+aj/JahMFSl3L
p/PeaIpWbcisfI79bRcSY0uGR24iWLixWPWUIwReqbr3/dtxVW7QLGKZ4plQ1Lga4Kary8C5qWsU
6ZcH0moVmBtHNfAYDqoIKry/UVgUbXZK7cl1oz+0Lr/dAT6YSgdfAGVfbYurunGZqyZj+CefsEV2
6P7YLBT7fwhRhdKdnTcfSyUiVdiZDMP8CsNe5NUf7gCl89WCN0AtBKuKvBG8D6mqf30l4NlgP1b4
8qmKe2VtjiGgWlmMXHh6eygZpMPucNtp+MNLEVMUuKUPN3EVpqMeZKWgHYUIFast+8xOTt6yU2O8
89kXL+Txy8q1KCRjOlTyiFulLJuwSMCEQmrd9KzSmvv0nuTertI2OkndvnnwbBUSdVLxo2zEI94j
KPg0TxUOjTtXWrMmgyBKmsdIzduBUPWmT+cjHVI+JDAqQopOcCcdUC1Izu1Y5zeFKoScUaW5XLZ/
CKvwh1umf3xM6xP/0d4MYrKScJcZujo0DDMBXQqISneEvzUHfO5eSpw3OGPwnYXgfjkBK71Bsi0D
UWcdf5eVxDty8leCVutEBBVt4lZn/hQaH1Fj5dldGVadMWHFKt64o2nEd9xC06WnuWlksTRJ0JEy
oyfb0INKgCGlDYRWr20PU7kh8GDxz91qYVIpX7gvmEoQhaYe9pZ+MuMSFiFiLqE61yxjU5hCgwyD
vfq8YsNP+DuGBgpOGCtbnVdyWBTvPekXxr+3OcnZtIGORxZGfxLTHPMj5rlV1Vhd/OTlP8DHQ1VP
BMepZpKaTd3g0JojfjXVv5JXk1ZASTV0tgIS9HSwpwIRjqMqq3KkXKAWlZPPP8zzG9WW+CnRnRMT
yXmaS054YtdEyBa6oSBQZzXiMo2PsyeYr80W9XwYquTJkjyHDK9cksSGvyYS9ObohEYK6+eVmadu
WG+SvqIe0TtfLNm2Hcpu/JvAo7fq3ehm7pGWVky7Ai/NQt1aRSXSAPtBi0r6H8dKUq/FHPJtaWDn
Q8b8vlsyS3ZE1sTF4GkkoUdNwuwpaudaH9YJKGH8d0E/wDgHfwzLbx9IvFsm99jgi8ZTSEt7caN9
4ZV5BcnAHxL2jlfN1peB2UrKsWQEl6gmKFuW3m9DdGPLyamiLJHEsc14tzyxYlDa1GskKKEf7/Tc
SVT5atr1kqy1kFa2OBjn9aS7nZI0FBFxBMM6HayK70mZhqXT+kKcvwR5Xbqby/M2nFgx5AkvVivD
Fq76LZdTWcOAkZ3bd2eNW3Iuod/fuH/bPT2TEoUxAYxTE/X+1aaFu4Ux2mUVP57PDxAD/LmUo+b0
gLRZ5XDbzhjTidhapjJ+Kndgbb9/Db8dHijOODZ8KhPAPizeft04MavB2q3Rhodz0BLuXpiHM70j
sE8rLXqdLZOVnGPt/Y99+24/talANI4Fmi6o03z+/dpOK3XIDE38jkzEJPS9aGcUPsp2IA8Th6gN
VoRj3N4addz6+sogwNWtNqzFDLqMj/Xjsrz4sYYkbT+i6bCqTcEgxwMcjyBDQZEyhcVii5nzU/Wx
q6E/WmlGXg+PqNkbQMs61eN03JlMFfGSj2JX9rQ/tHpGvkuU7MJa5yr1Uf9DD2L/atPAMQ2Y6oAP
eGyvlmtfH1SGU48jGY39o18ujtF8SScbi4Zvl/g0qzL40MBAtsyGAJfGVNhlZS9Gs0b4bHrPHbwR
/gwUR3Wqht7yoCQ9Fz9QyWlkZo/PYt1l9MC9Ah0wR+jVi6TFadocu96Y7HHjaw0Aa0B+G+vr5PqG
U8BN6VCAZgcn9GfKl2Joa252V8LTZ2uytCyxf9Su5kziZCwJVxJJOcXNuk2AWMYjdNs5yzc6gV+2
FxgEg9XhSsamMckiqEPd75OHiVGRkHs6fH/Qti6nL2zEuvV7ZhqMkjnxVFzvPKunjLB0efvuXWLo
pOiAZpR/6BKuC1kaQNyTbCoYTI3Eb7ArUs7EDxnOPlh2MgwS71NJftgSWypZ75LiGKcQ+dLtZCLB
/hPYdb30QEJ1XgF6UVVG/1Y+VjV77ZwV3gMAMzl64rzWUWS7vAJmjK8LJIq0Yk94f+39w+dauCL6
TCeJN9SvwT4hSWkjAch+0G0iel5t2SocF79kZbHQTipkEVdegz97/3ONK2jKYyIKOKW+sfLhhIX+
616Tx0k5NeOyPAwGrz7fEfNKK4EG81auskEhyj5Wheu6EHHoxqX4UOf0bHC+UvIqiaqq7dRtDmSl
1cYcwD8a87+AGDxM8f9Q2l8NcFmnyoyQx0KvoXOx1/uTP+lFn8BzeZhCvK8StDexehHsxmm9z9QA
aeSvTYxdm5cUfpper8jnm9Jv9H8YJh8urUgoR3+RqzhBPliuLUtq9bhupKtu9Pv39gra4HLpgzAh
4+4qt9DrQrxF1uRNZSE+COJfWO9OEqu3aLItFdwp3w6OZKz9dA3j0SzmHcHqSoCWwR2iL3n/Yn57
wfChIdSeLlH9z70Gt1WZ0FVg7Q+X8G8dBiKVkCVawsXWrbdwwLWQ8ZbX9z/X+P0uYFFGN+RiZIUh
2/Xm6kdTRHNos9O4NRF6ZUN4LUu5nOowW5mdUPDhUlVooFTtGVfZw6XmilpLHRgdoTWUA6M3q8Ja
GAm+GqsLIlfI2pl7YIJJAaFofvDXuTOieOmWNf79SrNmV7Dmk7/f/1JCVQE/n5REVoBQqmdrqHrh
ern62OovYkiHhwsiS9K879z3Rj178SZxF0fK/QCYuZTrMiMOJ9onpdmSOuHouRrFRS2uiH7QNRil
asFA35JXvMfAVY+LtN2QvJO0dywV0YDfsxlY9uSb2bbGPSnXArcgXqE/uAh0M2uHwpji92WwsLTW
NudiwRwRKlBk27GaHDSAOm//oBluP8WL5wiwSUil0bRxcb/MrZ1DQqPASQbPzqEkxDc2Pf/Y1yjK
nhYiO1XM4vlxLDO+MnmwQBBRGFxLhiXti40mlS8X5UbebIczLt04htJoXrDkfMJ6Fg06QyIomFKT
nCk3OYb8XBiRO2Ied/R5qDq7QGbw2LVDVOiyIoM6wwMdM+3BIH/1D7vfb6cN41iLaY9yX0aodP1u
OohTF7zHuwdMY9QKXSqQ1695HPqsU6BgdQ9dIyfssSUd6I+b7+8frxYFySRCtcr06r/uvdRaSQrM
Lx8uUOYlSTnrPRU7e5Yl2iJTRozQU3nof/j65m8XgAszYkQMYFDmQMC/uoC4wyydnLvhQ+REqqvC
9qZRGKkV9Wm/EmO4TP6ay1nozWogBx6guWDShSLQr4lV2V56M80cFW7YsyHzh5fIo/I8E7iU83OF
PdlT2IoGlkhXQomFGS/ePvXyZhWQ13mzmqjvCrGf3aEssC7Uuz511p0xuxrccS9k14DolZRxof1h
h/xto8LWzrcsABM1pkdP8evTmHKcy1uGtx8uWxTtCPkCwWVYbdGuYg/+FgOKV6fF2zI7MYECY9H8
sQG4LkhtB687tmtwUpV8ez1xC40pF9GcT88EOmLKjCdXwWeMbym8re/xPr6/nxlKLfnzfqY8pHG2
Vr7IVP5AeL9+95HwaKy9+ug5tjH+tFaGznQOh0cifzVKxir2hy/jWyhV1+K3zxCavS6fVpkORoHT
5zkM6/2L+o3pwNCOW6DqQWYDvx9ZLV6TM4Tk+DnyI7WTwKVUmbGEtKtC/FygjQyJpgepIVY/KCkB
D2x5O2c41hCXi3iG1LZioRPRFjiLoLtuE9xfIDi9dVVFZBXLq5u2Zip3C5ov85FAC8bPqxZbKMat
5wK0pnZmFbYOvLSHy1wrQUbDVTlFwbGGBweVR4CJh7IZLRwGdYF0iRi7qTEe0LGC0Vwp1lg0qaVd
u0lP/1r2SUEXN4z1G86BOwLVpWEXBpfn9ZpqNqczePf+nb2uBVj0DJUZyEMzc3xxzZ7qOyOBzdmb
T5fOsmhcNNHntJqLGQreK2q1v/+54MG/vGcC/ykDz3fd0Bmws+1dG2vqY5Xztg/mtiOrTYOKD5nQ
ZuhDPmDNHKaj9amBSmEfo8Ea/SmEVOp7cXWPJ4U6dhyLXgsDCrcxtK9GD9IAshp5oD6Xuc5lZDlg
JDTiNeaicIzXygwFbxDo0lVz20TuOOurwiXKMuV81dUkthzzHl5/DlyT3+Vj38XM2Gia5kKxEBRs
Rc6ZGm3agxzYiPBWakxcU97M1S/AFuk6Za0RyO4vxrCTYEJtsorTVsjbyoA6Uew032zNL0zIsa/Y
zKKw3NdsCQWHsWtr5F9syBOGbXOqzZAQ693S0wvdjTrfPFqjX4JiHxDWin/KLp+Jjrs1FAmC9kD4
2tisM1wv/PlublqmqpRNycL7A5y5RNl+HpjYzwe9ZY2QTjTCMURCfvYgEG0L4/7jPIN/EfNoNVAL
YCfnlfZsj7oumLtVPpTHbQaAY7q7hAAiNvtx9rqFgmzp5jzaJEPbak/e2LFPFSkGT8Rk6Jrvkkq+
IGyJ8nCs3SDOShbxuqm7ccKT7DxJThygRD5ETFpKRYiNnK6vh6l162jVWSoQeUVJH6fWoQB365vn
CPwltY5YG9H0PiykYyc1cF/l6i3ucL3MvvTxNOpf/VozvUMvG4PExmwijipeSdNTB91l/Ny9bRKJ
F/c8kCYL+zm7GTyp8L8z7HqZyfvngbbGI2XnOTuFD0ul3sguk8oCYug5qFrqmlH0MDZZz8P38yQw
SvH2e4oRJXKIOjOwfbMerWpgDkPgfPqncpt28dc1xkkO0YHAIehqdJK/xRSwtEsE81IchipO4MCT
+xZV6bPhhnDmMcyIw70Ld0w4MfywMvcbSX9vhu5+JImpxslgSrITDNnQWEvwvZtxRIS0snsjeoYZ
DWXMt/GTujXdom1X8QQfXucekIvlmgLLwqNXT+TzZKTQda2+7hv+Lt4VZqZV92kG5eyoSWDbXQ+g
k2BRkQxfwhZj660l0MBsctNoHmmXkmpTA3fmqwaBzBzIyjHHgyP1Kd9WVujLdR1GODgk3eQi2iHv
YjJOvl/KO82ldAh0EfG+9SRIrUfCi5agjD2JCZOofIQdQ+vBNyvdG5qL0t+MwCbYBLETPOVlb9z2
jT2MuL5Y5mfD8RNyXUVL4mPvpndN4ffrBvzjdSomNCFd8wW/rvpVM8zsLoepjwlKZyfkWePaGhYD
eHXMZP2m5rgyCdwgtiIh69Fqila/AYPTvvvEOu4Y0BG3GsYYppPIsHIhuO/5rgbYDU12UDEPeHYA
X4LWR+TRE0x40y3YHwR+7s4vem4v2662UfgMRt7eD0ktP4QWelRSXZdtNnfisfM0axf6erWpUqlG
cUKUJ4qpcqfbMXq5ReYKgnJvYeVhBcJE/hk5nfg0m178ErZdgwNVE95E4OeHvG06hNuYL67R62Lu
kpK/5EypzdG3pNNBt7r+pJwU7yuzNTbL2KSbLLVNcPdBRlhsGPN3bBiypxpa0IfC1hFKaW58N7p6
AZG4SetNXjTLSZ9z/wnYOD+S+y4+EPSEI14KHSHIotw76X1qv+Sib1585jI7eBvaahANDPmml5wm
iE8RWxaaHcCtIz57cMonSapktQJ3ZoCBmeiXyEyqG79CuOIYZvdkZI6JH25j7Ua3Mm9NK9LW4zIs
P5CqV18jJwHDm0NtXQ04tWEFZnw1GAEQuTxneyKL5vvF1LpbJ2rlzmC0dsALHg55uMynHIVpuiKa
2v4A1cabSHctSj7FCDca+MBJShtvKs9r3K2XZ+HfuPS/osHpvxocb7tiTn3MhCwtaPHNXJEmqD/b
bMAbbcq8exG57t5CXgC+jhs9GZWOePboOymxR6LAMPqtyi99kQqEr3Va3fBq4jTlS6xrhFmuavBZ
lgwJnjcRQNSXKbG1Y23imRXSPx4E28lDhaNQwJlZvoJFLUG1DOmXGGfjfDWaJYJXMZarUIYGxQ+z
jGAcB2RAxZiXX9lQCysw+QeZxCF3EAaLaQWzqdV/zZrbY0Ik00PWy549I14ytJlz9zBy2OAp2JY7
GO5V4E1W+YSuuzYDNHxGlq20BGVC1AYT7snbPCraT4bblXcx80HcyovBJfTW1UkJwKiG7KfiFbfw
IZj66mPMQOoAJfPb0FqvTl5MkNeyaav1yCMX36y3meNK7WB0debfvImU+GK5tXoTJ1FRxP4Wm9Nw
WNe1yZGMCXUXBz9JkkwSYr80mjatkGNCJbal9gnvbpO8YMT8GIfpSf7dWUqxT2PNPmFcVn/2i0o7
ohgcWFz2dPuT9qgk6mlNB1wjILf1kzELPM+EVz/gOKqj7YyzbuvMI8pnoy2adRhqzdHthAvdlCLw
IjYqe9mBA5iQbDcx6vrberKQVVlhK9cyEy5BcMgSY++vn3REJXf4CFPNJO977A7x4rRnDVFvIhHf
DlfyIWep2EtgATxeyYcyP7Fu4EOk78iHQquKXn5WDnEX5JPhp78ohyIUfJ9Jvmn3mM3GX+3/rxyy
mzFe/awaavOx2DKhqo8ox8o1YDzjBTsL1yiQk++ejOsVinIPs6XKhzptR2eNEGa+3QacNjoVC8pT
tPx3XPhZH1QvBkpFdMTrKrPYu/+jD8qF9I+Z3fl319IggXZunQoNk345Ya0s9c9gcPZpyiZ35WJQ
sRt9YrV/kgYtthlDXhPkG/9HGuSAVTJxybLkLA3iEK4eiXke9lfSIBtZUrp+kwTF3oD3aYUVdL7F
BTApEWZ5cfoDpT34ct2GDoOIJfEQ/2SLobCFZEEoST+TOW+uXBRqySqBIkcVafpREvX3dZxBeVmf
O1BZDzTEF3ji0gu1Y9lJ67H3WjXjydhQYMacWzSvy/Aj3cdoJMpx0zG+yv3VlEfjkrzicqywoRQS
Mz8iztg3xZVqldw3HH4BV0LCp8ue6LDA6JhBvmKxFtUfsWEivyo4T+v8pRw8i7Kf9K6Dj62F/Y21
qfDGCbVI3uOECS1jPffDsNzCE4maPYafmgTFjuSMUtsanfIuLfpu6IPIF11K5m6YxRutbaxmrWml
GsGF5ez90OEMhEc4l0ZxMskP1J40CLrjtnZtWT7YYx2mf3X4QHQSmAOz0Uem0SHGcBL9rKmfAGgn
4ezApAipJVgjLWHrjDBA5003hNgu5+SrVwENYiTjbTimHFwBTbpogdcmxg/5udlNfbSo696g0lnD
VuOvkQbSo9YLAcM+DkjEC/6AMZP1HU7Eeiu+/3tYZWJIcjsKIaPjTOLKgg0mHp9hFloFYTh2tjhf
KMjcZNOnY6/t6trIyg8XWmmx4HFV8Tiicnk9d8i+XGqcEsKY2+jGg9H+TdekOP86poS0C5MoFKiW
yaSCCnIujRNdU7jthRVUZKONWJOAvLp9uIyaLjwqP7Rzx9kQGCXK5o5aild4pNGip8eBW6HpKM+W
Il0tntbO0Y5JgOQzEww7pwdtYdR4OJv0EZaQg3O/lf1lbik28lxDLEi3vOeqm4cVAx5Q1GRhjthZ
vP0ZE1fFWrqwl6vRVKS6WB/VVFDPOToezn2EnErFzFY8j+nfiCKCZxCBA10Qyk/kVW+wrBsX6p1E
tWByF89Xk1keD688Q/8tLR2//Nyed4Ohfm2D9UmZq83Hm4xD7A5i0A65PVgJKJnLral2dN8zJmsY
JDTV353vuE16oi+uByDmkUmFPC4RHHKUkTqHf7HpIVKyTs+k6xKuYQu1JCbRmHvnVa5kMQIaqksN
Af94UnOIeQVWMLiBmQaUvcyAO13YQt2e/8fZeS1ZkWRr+onCLLS43SpJBSRUZXVzEwbV1aG1jqc/
3wp3zhRZYzA2V1gCuXcIF8v/9QtsuBhtdx3W8hNeyXBLXqfBlf6Mb+LB+lIotcdoo1ZGTGtzOhiv
YUar9y8YiEkDrB2HtRcwevx8f4V6CqzSRcmYhvcc1umV4+JdS9IJpuYANHdW0xOBedbPqnPtdTWv
fUACMe0z0HbemHLHnW1CTN2/jKZI3fRU41fH/eXdiJ34fbQkx/Cpe4GO6qYlU5o34srI9dRr0j3A
xMWTbYO12OyoAeY0khcaU7CU3lOOq105nsjXlBcaOBWPIPc7wY84WUjP0F9Ta83vqgUWErUPHj4b
1SDtYy7Ftb2SZ2zVIfJ5RJgGDGeUEjIcuw104tumOp2kMI4BLheM2oR81qXtXAKaXekvjzRzzPSc
5ZwcJOFsDScavKnc07Qh9KN9naMGBALr5pkzyoqY0UTXTP9lfV3pHwzfmk0cuR9ValzpE0AMXGUH
GBOcuoW+84CCfBecKiJCguwGemrrl5xlwfzNhILSsjpHaV7dMDaf5y+c2rKvtdBkcKnvI6v4ZKbl
BGdmdfDjgAvV5e5ruid5+ZT5sBNvPecx/0WtJaPfS5+5OXaYEUvX7KvhzTt3MY8mkKuB2W/3TU06
pPnyzKcOay3+vYQ7ZZ+rOZMnapfExrzq5m0xwkOn6j1ivlByMSTrdhIKBwQZELgTCI0PeKfMnHtm
rfdlCWgs/dmklNLfCm+Ug35vw8r2vk/awwtUoUADwcvsdn5XpoIRtK49fqq2Jq6+tjatjAn3cvSZ
5mlD5c11qPVIQ5b5QWqDgyOXUxqg6ndbFUZo2oPabTkPHvhvGy10J9Qj6ouirbqTF2Nozljg+Lj+
K8hqHq01NAlPylXkRly5eQQKo1Q7dhEFHk+qXl3Z7bFik32e+G6Hv1yQ9nOPS52wqKk1Wm/z+DgD
s0bYJ/81eI2LWYUJW399wShHtvpa4dSzi3fRi70FwogtYXDY6yXpSaD4TS1lMGty5oRGQUv0xfvr
oAAUaaMa44dlE8uKczUO8h+nbgGwjVGdEEJutzKRwL3kEq11k5naznShpg8x4gMuv69odjSneKUI
SE8AP8IvVsME2Ez+R9O1cvOKSwNlV7affeG4zvpV23id3OezXa1Q9tVC7JvGxjzYPUsaaNhGiR9p
NpN9lV4wOZXXpcbL6CIdwXUqWxaWRAf1GE993iBj3q9bjVKGqANyjiqsUZoCF9Rr6VUbywnO0uiA
7me/lJUAaFBqnqQ0Wfu2NjK5m5rdp+nY55qMlb7yfRngql/7nY+B0TZXN2OYyGq7hNmhDzomT5Ca
Muj1y/ah9+yvjZCJm1PXJ7Lc+OTN8M0Z9iw81qAJpMITRuT6gjDi4BrRDDTgU+4wSCl+J5b95/7Y
49y9mKf+XYyFsDNdUQw3ZfkA/Bl2/Z01INeqP9aRv650tv2KwX8Hyo+X0tkKQHPmh6JKZ1glMxQE
6HcTHi5rFJ4Kp8z8/B0aOSHT7DiKcZWO28ssR3Qno9U3GydtyQEp2/HPobTwzfvs9G7lZhfPREZO
2qm1SavApGfJk3GO3MRmjoRojkRDOt50cxz+8EmcXF/8Y8sxyuHYvw+QP+EAysVVAeXIN4J4hB6g
GxB0LeUBrl0tFUDrZ2xXuBB5vE7dVVebF3+PqcbJAcHll3Vzb272OkhPBs3apn0HyE/T6aGBAcSl
7WXM+3FHc8e26VShYi4vs4HLxWVZOkRE7yF1czS9JE66BsVFE3tp2YnEMgqDyLB/z7EXwxCHPBSZ
JnoYqwldp/PoxM9JZqzke3XwLZruy2CtS3dtUDPM2wVjX5e70JWOo95/VhmBM36Dsn8Mr6PhkmB9
xdAuotmjNPExK+ZZmW4vq24KMZbCbPXdmanQ+uBAL5mqwk3ijHno+gHi8iNkTG/BAIujytTLDM3j
FFbHKVtponuXVrEFBvz2eIS9kUOEo2M95DHnlD5luKQHGWciQSEOXvAulbtGECsbVc9WyidWJUdV
2AG1K5+Rzf7KB+vGEM4vsklrTgRnfZkErYmqAzzSNTm6vBRF1w0k1VL0oe6syc7gMzE1kd9LmmrP
cTvJywmIfoVUy0fPZpzA8x2rVmZ/7W9JDwN/pDqiq7PaMJHPe4GTB4hzvS/VeFFltG7S1z1EuvB+
NpwsGC7fO1+ouXgvmIscRQFFCxfWHGWw2hHnaJbN2/DAf7wLaWUyabyhku460YpeC9d8cwu7/1oU
npBhdLkLCNPzAultpdN9028DA0mPGWKRpdG7QFrmL8e4h/55F0YxPYa7jH4iru6zU1OOUZXJtFnt
mHlAkqlMMv1coQjKTIkQcHAha4zlf3Y2F5YT70RUhT8RANFD5K3Oam8DShci3QYYuVwDxyTF+5L7
Tg5/Qo8ZffKArXocQAa6xfd62c9U29xTvEyI0SZXpY9JWEuNg3Wpy6yn/6FOpEkDC4+dOk9Hnpna
5PWcRtCo7p0zcX7rVGNuswL0E6cZ+dZc3Boz45HpBdsoFyGpcvMZvGotf6vaHD+8hykHY9juAsVV
CjdHVl3d8nM3dCm0FdXWplrM9djIlqOX7Fyt7ZOZTvxlPi9H7ZDnDT+p/nOWxm57Ny27s1j3hE/y
QLCu3vkSo8WOxntMM4uV7zp10Gnym3rQasiR3ubyjNRf2TNeRuwAPAI2ALOSvfP725xs2dySfpCX
b7q4OqDEO45S+2DIaupMlPdUUjVb9QaKNxn+adujsABhxKWmbk8JnS1gfCAnM8FI9iCkqPfgjKG8
dNMb2OX7MJFLD46mqi659UYecXbiq6Jilb1Y/wR8IK9IUw44EMoGbQ1eGsIZDl3sn4BXj0nRDa3c
/3cqYTrK3l+sOK7Z7I+rVDGp1cvy0cO6lIoZGxa+T0tH9CWP7QoE0OPkzq85aZ/ur2kMrU+YVDT5
KKGOEgiargx1tQ/4CtAAozxEafuOAOA2OPj6VFdzIxtHFPquaAM42smgNdWRVBi6PO/EbuQkplWY
sxUIjoLBesuSu/cIlqFhAG9ANZqnVV7GpoSTDQg2X6RJi1UYCMNFH3p3r5STmebkTtiQcwcTTHk+
U45rci1HDaOrxTlaYEJehPzTeKcxXiAw4U559Ns5q1KNo4iQxX88KjYF2iROiHvS2cNcCI+0gO2G
d8Nh9MCG1EiuDIYth6Sjf48hi9jsq2JXb92Iy6ky3X49Fr6UpG/KMMXEVUzJDlSDAYP9EMdn+6De
0iaQIk9VUYNLHOtrpSr9xG2FWZerlaLIp7nd6AzZRmw8WEqHZlcD8NeUINmTxXuSrYlW24GWqbGu
n52ROitfrOAWPeNUrblmhyv8pkirWrjqjBu9CFB/KZ/wcN3JCC06rjlgIZPXq+AuM8PrCJhM7aGa
L2y2eBxS4BWDsQ8QE9KJpPipNPfl3JlrZFH1yHGmyXthOahSm57CwODx1JNz9rDdbvCpSVE8QfSQ
nTBYFiljLbuURrHG5zwnP+ZFbAmH+bhYNvJN+F8JoqJXJ8pl8dYUCORcsr6ro0CoVnn9qKFbHRAG
KBZvPfAH4dIE+LPa63MInOgTBKEk2JZNLe9dwOxW9jhXncR322wYi3oBghItdYnCv9QByCAAC36H
S2YdGPHkLE2oN5FqsLOuoLd1HH9/IGXb2NfK/DLpDSFEikd5RINTuEFJDNdURlt9hW4oxwGNaOoj
PWcxqfX1T/grC7yg32yhNL9MU06JajhoCBM98oZROnRi6LsVFpPri4Zc2iQfAxsK82reUt+QR0oX
7qCqHANZkc5QIo48vFqtVeCVHP+oEz2IfY6Bp5+aKf1K5ONzxfLdvHBsr7YP+OGZZH65q8Mog3wp
ui9o9AGTQu+OStCgidQDGlAWg6zjmGJd/XTY+/mBoBpqlRsU7X5G0mGQ9FK80+tesDSyH6xhJbte
55pS9vR+KxVOe9RoCfOV9U/jKQ2HOikr+1mmqj4qOf4iZQOpG6Jk0ItVgIslf9nHpRxOa1W5Ndhh
85dpBd7T3NtQIvkJYZkTDmykyNpaqszDDaGwO5HyWV6Yjit8/LgAY9JXi0UsiNIHfzVEEUlnWW4o
8bfV7O/gAId494DRmVx1aQUO8xJmHD/4cvjn8TFJZJAe4DjYGK/a2Q2Lu2ISCzd/OYBDheVpUm1x
TCLSH2SdiDtXyoweZ0FetvCcZQpWNe2dy7gYLX90HUsZG/WwSJGM6kZ4QOCl2PJfvb2XoaALk1kB
7LuqpDQxnMrx+EwT6hAopCpr6iqQNdVA+h7QERtzuE1nB9M3gITdB2V6t3hjQOmoz5K4LskVqfrA
Oo7402RVdnJNO8sdi8+gy1KYw82SIUBQrLxSa6MxAhiKCh7nuxTMqoMOcIAWaWn4uO6G48FpdKGZ
ct/qzNyQCsMC1OJXymdkMGxY3DXTSk+KIKloMkRgusw+F3EnDwaOqtR+g9vJ0bav0y1gZhbOAF6u
AQi1AWihTrQOyXStwrHPBmzrjlJUQ86mAo99OJq8wlRVfSEBGDQxEELIYaDeMzmHkighmMIyOQkp
ac1SD9v8aqTQRjlRkvhs4UlsIf+gZvKrctqfW1Qvq/d+jJJoiAQr3eO2TP9ae5Ma6hYUtZ1/GrHE
LP271PZnDz+p2EomLHgCqFfU7j0G4efcH7fuL/Q3zbxeDESPxXuO2lZ58Vs8MqY/BhQUbnhBMJfm
oEH77gTXNgYcutvnoPUvgkZZz0Me1N3j3EGKSu+ikpP4xy2dJ+e+3uqmfK0ZRv/1DNq6r6VPptHN
z4edvmZebaRTJVCnHpqlm/5ltl3fvA8sJ67u4pnrg0XlDFve3BV2SPr1dcBk9A7ML50+rj1j60aE
4GbetQ0OYI+4p84XYpxsmEGNHVAXJCy/0E3cqNlOI6m/08VcVvhfzpAuD703+w1IDec766nea3xD
W8hd/m2krUfql72TKBdm5W72N3eIxhEMMETAl93ccjFQgWaNMT0bsIfLjTrW3mKGGC3A1cAUMl4K
B6GeWTtkrGNp7NM93HucraGZ58OMqg5imbsSZYUiiHhPPJd8jpqsD1i1Mg2cSxe6pvcUU+HbFNpp
MQfRg9Vn2Uis5GyZ636Z6VktH0oJsP7aeBjiform1FseLSuYmtvmbnaNlLI0MdzOMWyP/X7+0OIF
0d53IJ7uc1QOjfHoNfPU/hmyKLd/tliT5WCchjtuX6odvhNJKphvuqRFTYgDQYbNMPjml7hgGBAV
/0h5E0n8HcdunYQmEUPkiNJm405HsEZ/zxjVgdN8wXxShnhPpgwOGwpyVsBhQNK38QQzxvY/QpLh
yZx6N9oaBx57QTkDJZgzQ7ZVpNQktF5IlcTy0C6eG7UsG5BYmKqt2ih0oaxKfPtYirIGb6A/QpB2
DgeqRMKyUpC0/EBYbSXBUvxNUlDAgFeCFIgXO1pe6kNy1b9k9ZPaXH0KmY+y66G9oh2hexkoEJeQ
GcY8iLfLesjq9IajIE/VIo0duzvWZge22RkKtUz8iaha7iSosJu+N+x998gf63oz/LC6e22E12Ik
Kuo1ywI5IuGqWDZ/DajJmpqWmhSi/3tmk+JotTpWtyHE7Pe3sQ3j+ht5Wn78H1wQl+l+NWezehlL
DKb/q9qb6m43jTsN4v2xGBEHPvydMxBmrzRHEh8DYgFQNxXbtQFdnMIbetFkdS5OGstGXai+V3ZU
JQk3acPhwFwlq5/wOm5DrPVHqJmxaSMZ/dBZBDRsdxjWjKhmJo/jxIC/hrUMlBRTXXzwnZqcv4nC
A78uHyLlfC6KArzg6owFjlhf7dLOLeOuGfBPb+ZPwcDHB907qD5WND/iQc3yZ5zZ8NMmMp1LliWo
rs9dO9cJUXCm116nvsMAGNKUbZw7TpzNe2S8HeSnbcFffV68sLhllEU3T/xs76Jxg54EyTuIbli9
2J8L0+jM9wONwgvKsZWWUVn+uxgz73UkL/BdY4fTn2w+Y3sJdnO7xpEXjxeYh3xpGaTjIyAiGWT9
3C5/zRkY3DvOdc2nFBTzfQVN+iHMZxzAl4iJOIIvu/9psd+oLwPK6v4uxbv+z96FUkb6tb1k52WY
2m9d0tr90wYHCOf0IPjce2H/uJi5+4RgxSH4dkFddbO9qnvve2v+bUN5/YHVreQt5256y6rK+T1t
e+NdELPOe26zze9sooF6dAuOY35B88WqhqP9+AdlSPIw8PKJaYgJ3wwuCVzPexv0+z9g0OuDkyQp
7rF9hEspLQgeXtEO9jdaEIX3bHPMq+EyL7l1Tmlod6ceu25kjv7s3yUBld4po63l33se2bboYcMk
hwxmD9/2uoKBlNi+Y55c+nfwKMp0OW925p7s3OyeoVjTLa6DEj/nnAMSfbuuuQ+qzLnklrM85XFi
YZbaYKi6WNmfWVpMDzAfnQ/LajHKIj++Ra1twl8iJcJehiI8j+D268k24/7Bsuzm3+xt7AzzjnG2
YZGOkCbMO456v0+Vn/4r5jyEncqSf6zNqLqN9hjdeZ653hxnNb/YlZ2+xpnnn72oyG6Lscef0hzu
TrDYJZ3YCQ9jo/a79zU22MuJdIL5AsOu6u6cKsj+szaG9XkIh3S9FrPZ/wn3FTM0mI0AgG5qzO2p
LRJWlrjFBr3rl/iERmujU20U4oFM8u3VnOxKUotrB6Kpmc13gR8sX/OIs9ilTgbzbLvxDDFkdR/z
2DOePfb4xz2Z4A2mm/fZqrsS4/8Y56Nqje69ukrgRI7LEt/D3ZySK+tS8zmctuSp6ZBrXFsquJeF
eKv/2O2Y0ICeQzryTk6y94UbcT47Itv/aK7Il+hE56F5bsmMeOZry9OQxPsNxVD1J+HJm/dbHs5Y
1vAbt1D6A//N2DO/4jVXx+9MY/an36MNMpP3jKNqEKRXjt975P/mYbOJOyD+VzMk+rvSxX62wOmB
BioO/8RL2XjM1k1sOXgZAwWjKB+r9cNeJMX4bC/Q8O+h57TWPThaYX0jUDRacUOPltB7TWYYHXhK
W8w21hYbyJjKDv+X6oNp2lXBxs+ENNfqUmyGH+3OiS+thvxDVuwFTKJRGl179gBdmf297LflUtXx
FDyT0WDSiW5Q3j0tW0Jrt54xSbmzt2z/2IzEC5/Mwhs+ZnnkNiW+93j19RAUoaSdcpMGOxl3NDXO
bUmv6IImYtzuWHc7855hUDof86n09l/Knn/kCYvpkuvB/kNrAs0EwsmPmg+73TK40MStbAbxD+1f
NNaGrnzFqqgqMMv8XzvN/4uzHu4nP36ZDQ/ZZnA6qFpsJABvZabEMNrEFPbBx5RMZYJBCnxIWBZS
ryWuEjTeJbPtXWWPNnK4wjMhbCRJa+UeTedJ/mhLzLAxxFWNPsfsVyj/h4PWbJGey/87fvBirBW9
M+06XCTRXBCj8sW3J4e/y9H8cC7CHES6NtPownfD1jyiH/8wLsx3+zLRsOB/IlTbuYwQdMP4bDGs
BXPKp2l+ZRXK95XYHhiLsBsNt3dirHCPCzVAaLmxgDw3fjlOzKB8n5YI6e37asEI3b60+44j06ng
WLESj7E6Q8R3KhuuGpuhPr55fRJF5e+1ehALu/i6/cHcJczpbFvjZDof8FGbs+2hygffn26Mbs/t
Hv0Vn/T9JcF8hBuoXVoW7hWv85Rnlg2VHLTTiK27PlndjKf1u83M5bQ1o6b1K4KZhtZNrx7NGpxT
XHpTZQYPDnDUvqTEgE/FU9ItHS9sR2abmfcporw9/li6fmblt2Z2y3gnbWMXH5W0XLDoeImpT/wv
cRnKpWRO7eGmVHDUR22h3wGTapCPbF0qmk8aUorMwseipC6WIW2vYNa747yHXB+2GMZzDsWC1ClI
8t7Ipkvk+nY8M3DFtCIof/G9HIJ55QYpi+jsw2HhWDSYWI44l3QoBKANUQNy543XYLWmhpCBbpEX
Y9fEDBvXmPCbrbo0WFX16bVt3I6H6FrtwAglhc2pjHdFTFOnvmg7Ic505B8+ZKbpBOs7bPXwV7ok
ExGeybM52/jXkQieQHq9K7ZsnoL3rdmta/qbWCzTP7H9wuPbW0xTeBptMNFIvMfTi5F5n7W05ODp
h5w5SC5xNon8y9rRehqUQRr+ewgYn9cx77x3BMtgx5zY7uBnH3LYelzjlHktv/qL+XwIwv6PYMxD
Jo+AiFntuGgNfMxyflw8+HZMI9ey+Tijy3N7OuS2Yzh04OHd1wQWNitCTmf0gbrPyrMPLEEw3FDZ
eG7pZHkVziGNLfaDtt/C1381MDEMk38tMUMHVMEhWgdttvIvKWjg+HcdnPAqPsMoqYfmgt7YqIMT
mwSF0f3aDiZPd8Yeio4Vjo7yfdomFXYMrcOVyMDiGSaAeKzuytjV4yP4fySahD4hJLT2rY5MEPi7
hCbZM4Z5yUJChgGyhQvDAgG7dZDSYAEt56iKTBIZ0eMgLjPa563LSVOPxxNMt4ixnNPfjoMrXmZL
Oz6WluVU0fdf3OyyM+BZj4xYLKS7Odi6C8Ialz+oJEeSm3YrWOo/dIcjcdq5am+r41UzKh2DUY/f
YmvIraY2bH+oEYdhkPZnRO4iHozAR3H/gbgYPE2hKhctPoZ1HnVAoPBeDnulZkizpnqkTiWz8rz5
m0g5taKTMGLSFcazUU0ChrB2Vk3ywfdRVzE622gesfLRak7tHZh7g7t3H+lEeVb3DuGMeBnZ3SZY
JJJjp48vHmEdBAYg2N/4dW2BSBwXzaFrV0MUst5rnyet6rJbxIu0y2gjBy3dlxgPV+qizs//PRAN
1tZXe/A4ct3XBXJCGLZJL4hYxJDbHBx8DeztHn4+E35U0OLYYDo4QvM9mNsFlu2I4O1vtme96DSL
JNrfJ2i6ABTbQ9WvWIG6KaBdKzQV4+df/6Nmla+3AXgYroAukQeC92YaznR9m8oN1/e6u61pUFq6
qnrvSVYJRocqSCaVBgT/X6T+tnzb3xcFJiQmcJ7luA6ieOetrhBjlEDagDmvzZ02GEAjg5RKMWM1
MI3zVA1OvlxnojeZKySWAUISFSMjWHMY9GjFkCkO8o8p5UTln1J+j+ka0TNh3ilAAA2faMYmGjfZ
16nBfn3+VBS1bGnaiCtjA/ara8LCTU3986eOHcmbO2UzwqGE9RxzM8xj3uplXVrGyF/H5EOdNDiM
XSlHwrq5UYow7K+aPwgEITsNbFAfUaFawqMmbasQXi47WHVvh13h5RAOpml6Gqng6xuBWjlziumy
YnDtzGl9Um1GjdKrnsxUwmPwLpotpRingYs5KF6ZUSXfqrkMFilmrAkcA2l9nAcycubtCqQkTyqc
evkQf2rxCTgVQ2rRXrBHkJLKrQqZhGweAK61ah3mWA9gJ4fhsMWkghwkHc5uyaXlaCymsDY04RLK
DqhQbrLEf2B5tL3hVGNVsD3ZUFTAmiVbiw28nMvD/nZNnA1qNgeJbDrRkZ3K9KbZXqopbC4pfgsv
DrSk4jO6TshRSom7ViD+dC7EvFKGduH0+22CKdtU10jZlhfjQfvbJmNYKLp4De2jkg5rOArZoTQE
wqr3s+ZhXtjvmgs9DzCmxijCdFlP5o6lxPSY7JXQKoY8Ej6J4sm7ZnuwqEoYtdAjVJNfMw77jp5M
8W4gWwqqqOaDjqstLV7VZs8bMh/f1REd5O0hV91nfcFBZwkJZexDsegetlCWcY5n0rEq7SEO3FNV
l2Uv7aFmi92zx+nYsE9Nzml++uCZRBQRxQekUNo3u0tdumlL4UojBZVCwnVt6uFNNeBG8FJkxZpM
ZzgZW2bciNsRMm/dBEKSHeE4MwPzBIwjecnmpU36exsOQnqf4lpOYdcCVvMFmlxjGm7Ob7Pjd9SD
hFfSLZlb5jJHnMxMDHpiulukq5jQmWtadlsQ11yY1bCp2mQ5HO4utoEvTn8NJ6vdxxtLesgC3++G
lID6121zGuhrOvwjGUcoBJKG4L4e279I0ROdwJcGi25YjavY/GCNC5fq05ZVK6iuoiLo9hObJENM
/6A7PzgOyFsf3RU6k6alay+rwjIgrb+z7HAfV/i2VgtlHwpiaH5u8TMpqKE9u8ctPPZtcTdsDE7b
zqOXWHT2zpoXrSejmdXBHJzaLrGM9qI5uYl6YTRiZZCpvgqJhVFOR24qwQi206DG2gRL9n7Z8qEK
USVIg2fjnE6+B/u8rhJK1XlXWOJcmixIN7x2Mq87D4hs48+IIQmZf+jsGvyfDEl/WUAb0MEwdLyl
b2uiNKcVZ+T3TVNL4xA9fjGCuPrTVH8rj2VkYVqyHrD3tyviMMIx6VfDQU72OEQKR9Wy3gVpgsv/
KTOrtHhobfLG20vZmMkcvR85hDImR87rLENkLHXwnRbl0WFsUAiY3h5jEWcE1TVWkK057gj40rO2
y5pn86A6YcFBKaFZAWxcUhMQQrTj9FVHnWDe2zJJd0/z3ki0EqapURCzQH+ce+Qi9NPbR2PglpO2
M6f7vR3Cj7g0egniAKVGUCxr0tqoM6u4ld+EIDNZVGf0YGzz2lglBKLTNMQz3MCKgO0aVadrhwTw
oWTd+YWCOoNGdEG6ZTA90MgX4oYYtHDdMY0WZmQR90L/0P5QutXt1KW1gQz6a/SVbF3gcdcuIIWe
Rn/rkvmUDwMa4BcS4mef+Dw9zRZjiYVumC39jqrttOZ9ZpUfAaVSXAFgwRxzeQ4hZVbPWVPICHb8
QVirmZIKYK1tYojdk8zF1es5Gez469mkUZWpMFvbORJqVEMg1JjdggzHgSQ6KRJV501wLBE8Cq+n
QI/BUpBwtywhqv/QZ8gVCoIADeHKxBFM1OCls1pYz5DdI/k3XY67impjgH7P1bmZ7bwMXzdSF9Gv
KUqFvh5Nh1GEkTU23Nb5pN/XpDjkFupSzsXAAIYs2CmmcBKpQLKgO97ot2HN8ayNZOlcdrJMKndZ
cjRlgC41rT7nUxOhrvRormNs/VciVNBvcSb+YbDnIFmvh3tIqpjfsDxljRkUC5Pl+XjILP20mcMc
8Hx5qioaVfm7duWcSzx94KOiOHsDLKDlzld6hVYx4hNJ4/hWggcgICA8NxSd2SH+0jeoWYKOonqB
1Eu7W5F59BKjCFea8qG3y1hR3Tw7cnn6esWupkUIMqY9QUNB4iMFSKeED/AdTen9+5hP1x9nRQCf
VTeVhpkcWErVkNDymUltkJpqgPBZ6hdNVMr6WCyh6DULa0sjBl3RCrDj1UQsLqfEGw+ejQ+bjGkO
L5670oI0+kvS0i3UCrgf9i39wfbVXJ3dRdTMqAuCDff2bqL1E95sI5TOvadUQLqaz+1EaP4gr9CH
7eUwhqwUi0wrS0oMG9j2ieISkrMWySgGdrbGQ+zdD6ya5vpg4wCKp6W+bz2I9MP4TmKBAywvR9GQ
dYNa375ehKOAaeicRgoxPyeoDCslyhgLQ/PgnNqYzN7bM+zH+Lao4q+evJ2Ne/PsvGoe17E1gvLJ
6xFh0Vz1unj5C0McFstLGcOHcTlZdYH/hZBXqWUVhtbNseMM14LgjDg41aMn6FZC5c9vgTULlBaG
luAXjIuQX4sneTV2gu/Nl8EJabCd9qqHi3Caw2DhSxjVPWCF28T1GD2j9s0Fv4JLxyf2Xil/RG6G
we2JS4rXr85ME+DLgu00N6bJc2C7XCJmYVzu6EwcsOENU2naJ5/cyPZ3hBeC0zl9KDjdsK8ychVs
RAEx8IMGihIFA7Z9K5NyIs+Y/0/3WRj6Pz9PvD1NwPbADgXLHw5NnOaO08bfDpFp2fcIKBrn/ZKx
zTRMiGDN6UAdvVFXjbvBXvYmw4l3zp38UY27n1/FP86SmC5GeNaRciseQG+9WQIzNXzXGGwyP0W/
pKdOkTIaoI0e59p8naUC0STCSmkkUlUZ/fxi3hjF2BaWeTj/wHexyOrAE+bHc3UeN2M3ePH8nHqr
yLXWmSqLFeYgiWrFBpwANP93P//if7wLjy665VDlA4tbYFw/frE9hiSZRO707KkNN0A0jVO3NlSb
3A53QV0LzNkUoStLVN3+88t4e/8AC7K6BxYPgYP0W+9A+l3zkCCffyakQqGWqbDvgbCF28axX2Qa
+iz/82+2fkw+wghN7BVNAtYwQgUleXu2RVCVYP0cG0+p0oSUxGhb/jXMu5ZAPGV+oslJq1LrTGEn
67HmyLiwPePfrBZaw6/82t4OUdsKeBYeQEVkYWH0Fu4gGRdTPmLUn74r9BTXezy0gmqIKqnDd/ae
Ust4SgXzi+f0Fu2wMW7DOtJG9YP6h2v6caT0PvJ6z6WLS9/I3bFwVoQt+Gyz+WlLxs6dEOaOgfm1
LHyBoy2nr62vZLnVRXKOOvISgKGTIELt4s0lTJJf+GW+MYJRIXlO4EBfCixM+eXf/7asdH63WR5S
/XeOhfXuN80AHKEw/Mqw+E1EkAf6Bd3CJlzHh+tMN+LNszBjk+NBt7tPSxWGe/qH4/VjW5C8W7i4
ArFzsHQGJIxV/7J5F6A/65xHlFNjssJgeL8G+A4s1xoYJyB5sTsclxbiItnC8RAOwy9UhcSEajUQ
dx4b4+3n7/PtxMffw/VC27fxYfHcf5iLsj7PuOBHwbOmderjeIvrCQu+EluEmSesFjoWw83aK4+X
+vOL8H60Y+VB2g7DKgxY+HBz/YcdK3voLNj39pwjm2NTm7uhCfvnaI7K+DVZVwPXntHYIHK97Owk
jKBCJYZlykWpwL3MfT8G3tYWd0iyTbgj8ZgUX1PDIiLEOfmDNWMTGU7Uttmdu9HA5lCSiIXWYtkJ
WBxAMH0vKLGy7emyt6vA8Qi7MQNxctfYcpOsM2w1dn6Y9d8i34vAXHtF7de4HkOi4SOnhfgjWIgh
IqmCogB3oQYKVWdDByhMUs52Zk8YUr7ppZX80sn4nIQRGcvn1pmDfr6CyDtDWEP1y1NA6LnYoObf
mXNntAl3kE5TdVcoaVYSDsIBKu00Tc1r4FEEthcTHcA4PvRditPuFfggNV9//vasf4whh7FvhqYH
Ww0139tdKwjZD+DlZ88aU2/V7VMzcZJ8AJBEWUS4Eonl9DwVM9tT/uYavOxUzlOhHLTMvRA7/J12
MK9CkZP0bVc08ZrfzRWXoQXiaOjHv2rZvu3Y+rRrsYiTDo+Fwelbs12HHDfgcrN/4hTVevWfaO9S
p74pFrIONtIzFebTYZF2aOXUBpHOsGPMX80OFqy/48sBDpU+OSN+5FsBUPObBY2oa68PaOo9BbtB
Ux0UNa6c5GKsh97z/6sOCUwYzp5D3zqQ/LDD0O5vayjdGQhQuVcRbn+0LnXZ2KmikGC7jAqVlRZr
t1+AzG87CywBiPyjkLUZkP8fRWExd2LYuLRPWZoHLDQVJz7/y/fvLwMMoj8G0SA9vtjC7+5X+R3/
+H4HwAounsD5Lmmrb5b0utzScQut9FF79S8sCHKQ+yFGpLI80Ul0ShT989n0jwvgNUMK9vHY5aDB
8vzj9uWDWfpk7A0POOgeq4d7nOz0NpvAhpV12QMuyO48uL3BHz//frnBv4+2ECYmFZD4gXKY/ceG
UKyLSzZSsj3mLC77b2E44RqWDn4MssBF98Zw823Sq34xyO239Rc1J+tohAMpNShj7s19F54zO3vV
9I9EXaTd9D5w22Z7jao+3+91274urMb5Y7R66Z/TF5Izlt7es9jOBXTt8onT0hBg0LufyW4AZ7r1
diUQi+YF0EmRFZ4uaMUYQoEkYqPZYWuBQwYZuPmd/q1wL37+WN/WcNhiM7BdNgMwAtnrfnytMXyn
FfeI/HGMZqxGTpC6syI4kVPXFx2WFMXsoedSYSTeBjb/bSLVZcbaAYrc5P/iJXtvXzLPmtccylXR
RHt76FlKCNowz/JHRUfNDlGbqiEV9vTzm//n17Fy0TKCfBeYbM9v3m2e4bcSzbv3kIiv57fvWuRy
plQeFaH9F1/4j9KMTZdjFIsYWZIm4bFvvnIY4lVcNLoHLWZSXgNrgjwVg45FGjwS7DaXj+kGJdKC
Ue9jvvTeniB8ljdSu2Kzf8RRowC/0xCZTvjwElPkNEo9uh7iZSU+wvYA8i5RhkSNfPT2aSzR6/Kp
dE88cbQgqiXepG/SKokuu3zAENauE2lMw2C8KM6rkpJpqZk3zaIYCLJKWvZjmvQAM+GkCL/1IrBT
jlMweGAT4+v1kqmjGUIr/IKGuZJckWpG8PQaWJmUdd+rlX7OdhMOakdf6UyuB/yjTHV75toQdd8e
1HIMI9FCtDo9YS18iRbTNEntgYXN7SS3xPzhm9VzGHJfQGrYmQLfaP8MuM4iuNKUY3V2KeWw+W3D
uG24hb3hJuNp6Y1+8++GiiSO6D7vdhLQFCJgmgtuLghjF0SfNy8h8+2jelj6WKSX4xzncM6MGq3R
CHWDkdr+qrvVgGmH3P8AGhQgCaIj4OQRr2rWHuHfdzFxNZt1Vla5+swZ2pE8zKCbRXCjG3D4Qkjo
ZHYgm+oJqF/SJbVbu5n7UqIKnfE5AVZzqWrAztr/Ul2G+QnXj3z9qojSsAnKbDwlPG4CRSpcQPP/
oey8lixHriz7K7R6BwdatHXxAbg6tM6MF1hEZCQ03KHF189C4Ba7KtlGzpjxgVkp4gqHu59z9l6b
hlzytVxLbbFfKasrFSVCXe4kj5VnnwpdDt4FpMame0wJLSSbhqa2NXub9VriLejmcgeZsSkYwpFX
FxnwSUyT7hT8xOINiVXiBC1dfrva9qpcXF9nmM3KUcFVpkRA9AEy976tgRs1tiLPiOLw+U+0zdos
Va392Yle0rzwkEZqRHR8m9dWOtbv1riJMnvIiQtfO79nqQAW6qXbee59hh044ncoAJjsfZI5MvO6
ViH24N2fu2x+Wi1HRoUN6bPA1Ed+Y5zOsfW8WrEZ6HbdB20TzXxmEtt3N+S1FlLfAbxSpmfHnHGN
3gA3WuzJFsZrRm+ZNcwNGON01pp806zDx3Nbmri7xS8NFXfxRJ4xEw5NUhYrVbmtUbnJVDBCcBh2
zbvzBJrdcBHyzwVM3/7OcbNWYeCxtnXPpsh63QXOFzhvss3kBXW6lt6ty7qzRx7Z7OvB7WFYVeBw
e1dvxBb3+7IM1wl5qNBkP0hFB6oQ9KuGaG0KZKQUsTBX52Cq66mlwmAmaHHeSJAENKbPLKYzHMtO
gQbWW3y4VkffMMdIgc60DvtrJzOiAUnZmeNcjjGH7fmdrkvMnWx8kmdn0WrBOwOk1kc9cz1XeYFT
2Rtbb926zgOns/dqfXDaL0aV+tVRP39MfziRU2C6+JJXy/Daqqe/uNCSVsvjylU5G6lMqOHsPeSr
Rurz2HK7wPiIspEHCFdH1T7IQkd9KwyrL+gbr531dSxiu+OyGrGWY4zcn0E780i+AiNxPhkv2qyj
m7NZ01zb62d4lkfXnO1wESRW7+fk2bPRrUZRxQYPdBZHxEqtUWNt6exXWmzFV1Yi7BnP3bpRJmXo
sokWo7BYd5mI1Qx9raeQBel7iokDu1qxD8P6731BTmpjmtwnQqv5dv0QFz22ZTK8NPTe5xJz/Wr+
WNtfu17Dp8Amf3b+rTslAQ0LVMetF+ETh+xyCpyZcuvM+A/f45dX9uxejSDgzs99Zy9/+nxKnAe8
K4vkvD2s7cwzIeBsbzsbFGu0M6zLElJfnkdg45JkfvYqBWI28joK4C4olXrhvmircX81wQDGM7ml
E723lF/xWgf/kbn0ZZb552LDqxhvhglpPAhyjPv8eWMt+s+zoJKWP69/9VGfv6CzdVYHRz0n9ynu
LwQq52POdFruNIM7L3OYc98kE+3X/GbFM02r+QiXHlOHK4NrBhOSs3+2XfcViWuKQ6tbxp7KFvWj
pQpG6+0yYOOezhTpm1z9yzgap+WasP5KW/Ee4/rT17sbIpalcDgLoDKSCllHGRvqchh3JYuPLKpF
xeKsqRxUnIV2lSrupF5WWK6Y70h8Oa81qSrxS8REE+Q3LQblM0/xg63RX/lqUj1PwiSCNw7Ec/N8
hQGsNJ0yhVZKYLfes2KNNXbFYyykEP9CAA8twTDyyszYKTZqQ4FF4MsP3JhfYCFTDsuojO60mbsB
ERxhVG5sWo1ds+1UlXTYbbsC69dl6xlfwXjnm8D5uCfBlx3gmFR6h+aQ4PK59IKowgQQB1ijDWXe
5VgCWAirj/K8IZ8vjueFvjqOtGxa7hbnoSCAI7zN5wrxTDY6yzc8hZQ9GGcrke18x+3WS9VZWKST
tsIXCdVkMRCTNbSsmJWPZZW6xUWLUPlln0Xq37Fg5saOx4eWoWcrNuAvluqnXuWwoU41J/xUA0lH
XuOX4+0seDgzvM3zv8j9kH8RMtrShS1Wh/VZkLQir/AMLlYvlaOAV9UwGOXHrOfR6kBTvihk8bo7
rZener0entlF53FjtB7xK51xHTeel+dqLV2RCfZ6IV2bPM16s0XhbBPn3scYcNF1IoPhk2STp2d0
TMHa8KAnirvE1K6r+UwtSNdnLl2k1AsirDdQkdYNgiXn6LZlJRJsUaFtvhfrly2+CEZtSkwf0Xox
wrY7w1aX+bLRR1HTP4ZRX1qCLIIlgS53nUWDRAmwTLlXGYmSfnmVrXUOSoemyFGvQdjQIb2Z3KaD
8+B3aixAsLskJPcFz+XKB2SSvlyq01WppXG94PuvGggV4lYdEkND6rSS9eyV4rV+SOdnDIH+XHcb
103m3D6emxVKNLSZFkQ432Lbr9L+q9nMKZlhxOvZjLAhqUwPGQ2vSjojt5AbLT8HeIPvTFEOz+/8
ov/w+Y/KshY1jmRWzvlDPkcPcUKLygwWjVM8XjerbgVqPdifLUXIKOTGxODcpN//fXn3a4/Cc3WH
RAbmY5ZLwOqvTbrZskeRRGV+KnKJDPwMaD1TaaZ1ZnZmzfx//WAD0SPmEWZ0zDgYk/3aisszo61c
McenNI8r932iUnCwE0giQYlGrJSxKLcllAW2+X//g7/aPn9qy9Aep6B1TSZ0zFcIkfglqkRRXKPm
X48P5TBJ1zzSlGzt6OQReopYnLl657h7jMi1hnhj7uImLwMzmQziVW3O1Fq/zL5oe61auNgXgRZ0
g7z99y/yVyUs8leIVBrlA+wT9V8zeCckFo4je2N/VsOsGriRwFs6HqJOl3ap6o4yV3YYqmTspFDr
XMd9GNteSrkX+YiCztdBHigPtUgUEQUotVA1+wXLwCi25hocX8VFnmOPSnKlRA9r1WCN/ZibqhFv
C4DVNO3Xp8X66qh/vc3/8zH+V/Qpzr6e5h//za8/hIT3EsXtL7/8x6Mo+N9/L3/nn3/mr3/jH1fJ
Ry0aiKP/9k/tP8X1W/HZ/PqH/vIv89PPr27z1r795Rfbcgm2v+s+6+n+Ex9G+/UqeB/Ln/x//c2/
fX79K4+T/Pz9t7cfBWzopAEM8NH+dv6t44/ff9PpzdK2+qcDavkJ599e3sLvv/Eq3j8//pe/8vnW
tL//pljO3zmPlpRmzWbCbS3RyYDAl99yvL87ND5xZBkMYl0Qf7/9rRR1G//+m63/HRcV5QHxKbR0
kFr/9rdGkEXy+2+m+XcMlCYTUbTKgLFM57c/3v5fvsb/+Vr/VnbFrUjKtuH9/DI5XJ4x/OuI2k32
FY/m9197dBJfARpGSWoZMfHqtW3LsflWTon5XBexg77EgSsZDWRz5SL96Va1qmKxo6T9ISNoJ8YO
BvzUV1sT5j4XNmq1etJ8mAU5iPpq8qomPage20flKzkZY1fc8FPpu4qeNIav6qNiBrOks7x1ygSU
MSRP+hLRYzPNInr/0zdzfvN/frPar2+W3vKSfUjHwuP/MHb/65stQsajke2Yewj183jvIud3j1kB
inmDTYLQPl+G8E72qiGXYwqPtCaemH1pBhbguiQRGfenUF47BDni1kAfN2MpHpzhPzWGIQn8tVuJ
JoJ9hY403Wjq6X+ZyZhF2PaxIdJj2fRG1QdOqer1Keu9LvIuOWYm9Z8REwiHc6le9mSxb92sdC/+
lDMhhzsx5RKIR99tZo1AVQR8/zlrwujG6jsUC5A1HGgVhuFQu3FNZbxFSlnu0EnqCERn490rE/xT
id3ua1p/zP0UL7kksZco7zp6LOIQG9qSNzGHnFnEr49r3sTk1u79MLuub7FRX4c8mP8pdKJPXe07
AYOItHWmJTeTVmUnhbAn5N+UelbkYknWtcF9EYXwHmxhiLtack/4NW9iRjR7FRZDdI84yfVt4glJ
4yndXWgo4/epbWiNu8UiIEe/3sra+1+DJ5TaNR4mtcCbuoRPjNKFWvw/4RPA2aQI7NFpdmHtWO91
WCVXYdyrPj4S8WAKqSFE/iN8ogIzjp+4MT5rIep3rSQN9yt8wlWkhPigiPdQ16IDTSgiN5RSRH6n
VfPlV/oEo+LyaIUDF6l5bs7pE66Morve0LNz+oSmhPYGwpZ+yajFDtb0CTI23c9stu5rZTTep67s
by1TK7c104OtA5f1sc0aiJGFSG7GeAj3vwZP6HGaf3DZTDZzO5hekIvI9geviK/bzpC+7bXN3ixa
EkQVnB0XcHsdH6YwduiQD9iwymQ7yCR7l0zkrxqpN9/56qxTpf9rHkU7Y/krWhPxda56ry1m1zQo
qGpubC3GLYz10E869K5/zqNo5JyBfwgnmzwpvDOcvOieCZ9yxDdyLIcd0xLnYER5+uo2nndrV+oA
3g3Mlj3p5HA3ToFT2+6eCxxmDCGLSq2zwHA9e3AehlZzIrHzRN7ta2eSL52iyWtVuvo2UYnM26TD
SAoHzswYe4d8EcTLbxB/EROQKZNPsg6AJKIp6OQ8z1pC0Fo2TzuwtdBByXo5FY49mJu87ahccI25
Tdv6HaDVzqFOJ0E4wd089eLk1ShLBMiS3mq2xoB6K94JfgTtAnrt7sI1HRH5urN2GCtRm5tmqHuQ
vXNI+q8wZt8iFXLeFzwnYh8Pfb+TYcICQAehtdcz8/QPBUppvY/CbqgCapAi2uvlpBdXKA3s7tOl
91xceKllFDtgmyrbi1ZLvt+J3e1dz+LJeB6IZXM3ttP3NYQBU/FKNTCLPuTzFXPbn2Doj6O9VU0Q
LYEy9DSmW0o77rl16dqn8SuQbkwWmFpQCb4cnc8izvUXkeDF9gsvdcxDbw5znAWN2ZEX4Pfs5OBJ
Zitr9Ju0Az4BLStytQ+ypFrVOIbmQDfjOiyypeDkXDA47TThZmr8ZriDYXzqMlOacJNExdRtst5E
CoLqfO42kZm4FOVqqklvP3R5kd0YGV/8uCc4KGoi2AOL1XsDVTWeLzELjN1LVytuQ2PbnFNIALQZ
xKuDnT8Mmh769YMKk6UN2liB1ZNxULnVFqru2OHnT1x0v16xCOD0vOdFSPQPlCCxqo0hYkmg2idz
iKv6spc6H0Y9ktuygyreoxJFmqtY36reKlg+6y8GtyI6Qk9r+RYXIWOIOQFYHngxVJNjl9VFcczp
4ZrupQ7QSrltZwVNChyHuOFoD6FUl/22xbg8bnUtL/o9feGmvnSbfNGtZY4Zq2jZZg0+ATP77FRa
IW9wrIicvBoLM1OvyxwiMePILhn3iZpb/WNnh0O4a2QBO4+5yhQmoOt5JGfy2qZMt2hajH2x8fBV
9HfyS5WDFtw2D8OMtX/L1UJJ/DKZFyvCkKfLmy17k1FbNA1jdgBDVKY/U0Zfz1WFueIQQkyFfRmD
HNzPo8Nn1zQtm1fk1rP43oO8NRjbcJ14dWoDTJaP0cSxrO2I1IslNjhFT14Q4ATewR8ia8ICslOW
MDYv4cRq7syDTk+03zqA8crAgr0YBQqLVDnSyoSa4kzwg4IeME+HsMMW1UEhjmLcVC0yfkAfXa9j
VY7zVLnSgUjmG0OvVb4d1lGSHvTUEd3GFDUpX6YEtxRieOaExwzfeamJO0XaIpjLjEcxlLqd7AeB
FeLGiZWSh3OQQ3Zg9FKEJCHQndzp1B7OdtRwbG3zVuTPRZjh8/ZhvfNfDI/6DEMyMT78/5ZlBuW6
ibYppVG/LbxqDHep18v05xRV+oJ2+uqmDi3Uy0MYujyDFDhDHpD1mBFTxHxaZVV3mRl4bckWmemw
IDBI2VH/Yk59F+9mQ7I40UgBM8lEOVm2D/KORcTto9JvYjgeIWF9JsufaSuf/chOaZ1U6K35yZS9
6uobhYAh7VCLvnf9MVnsJ4nlgGjf1Ox3n9IKxVtpM3ybD7OFfepFqY0YIBvt062ZFEKt9r3WKrab
vznjBPi+162TBz0cWlZHhBlDgan/ge4cv7LCjydTpZqLl77s2uKKpdJmJwM1lrcFPqxNJ7ck1g6s
kxjEFkt/6bu1DkCMvB31JpJm5+3Q0pj6RcYl5CjHKP7RVUXxWipS/4xSBTd0usj7mUmEpQusI7Yj
2FadHm9VaXf6rlS15Lul8aA4RXNTdaVxwC+ZbksSLH5AFa9o1jKqzx91JZ0vm9ETaD2FHeRVQViR
Xaj5LSST9qpEIfA8VUZ8jSDL2mC+VX+i1q6Zhmhjt7NbQQAH/ke+GBpQThlglYh/UCf3Icy2MnvL
kto9pEnY7BMAIuz4RjdfcOBpO8EFFgf8zGSYELJIuSswBV3Sn8zobiszuP2e4RY8D3PcaH18W7mx
+yPJzPZVAaSWHcw4ti/UCq7QRehY6kWtxcp0IC5huOOVpG8Gkr2nMk9NUsGyikuxPloBbwx/f9SP
zhRodhISZmZa9XYCahBuw4KFVRo9bXYnSitlk1TxwSm6pjj2fWwnKCQA+V2gx/Au9MxtbrU5wmCG
spzWJSkW3Sb1kv5BmoOnngQ8Af4dxlxXjsvThjpetaeLumrqCZ9EbV+ybyghodhpiOWfwzQwqoHH
wqTLe6yUUL2CIBMRjmgOxTfu9Yx99RobSsJLuR2mqg4Gy3IRrrtiPxb2IIMSCDFX8hHg5iY13ZS0
xz4Dk1KCIPATR+9npPdGfAT/VT0CBW2uNPzeW5aljIORz+RqJg/hylV5PAMxTcnORaKaBbShzVsD
OX8FLMauvw9qAdTGAWeQBexkw86WbT35Vr80V5XJSg7lxHQ1qPCf7lMUiykuvJahNCLAx8hsh2Pn
qGMwqk34Te+tHxmRHgT88IRe11mtRlus3M2j2nXhve0U88aN4eYHdPf6vd1GEecLxJqihBiFekA8
TZgL542yjLJUt8ZaSzFmvfZD73yzkrCeNqUDNWJTDKr9nsrKYpZSWOGpZ2skIjDJw9tRr0kYgkCS
L9y3abxWjTE9kRMlbt2WyxkCPWIH7cZhTArVZmgCenwd1rZxqjCiavERMYWabh07K14F+WiQqGp2
LKsrBuDjKbWzXoRXVBXiXa8VeQBA2Vx7BgiiIgxBa0kUi/QOxE8XgQ5kcq1yIN3H4dPAlOuSWF53
q9qwWmgjZT34nUERGzNU9iUTWwy2Sm4FdufEoES8FAlRn4uLEgLoQvDiSmyooZhO2thahT84sJuy
0XYyGLituZ8Y6em+VREO59OZioBBuUp54vJWLhECHAHsLiORd7YuOEPDxvipxNK8hokCzQakznyr
oXkJkNmEyaZJFpHC3COCQewcjuVFT9biGzgPiHNe5dTfx6KItwNdAXcnQem3gVAV9VrXOg47WMAb
zsNaWTr78zFnA7iejdIMIrh1I4T3sh7IPnP0xzlVXhFKqR823ENrb+f2o0LrUudm2oeHjGnYwWzb
aPYrwgcf8Eg3fL3ssCYTTRC627btzSs9a83PvAdpscGwHJq0y0HbX4X59JbosN2vdRA5IghLr3hs
Aed9o6udP5TQoF4YhGF+nCZPBjxWrb4vqiHaj2GoDZc0WfSDHXv5Ac9BeUpnczwmw8gx5tnlvBsG
azxRQHOTaJ18PKguylRe56C81pmSYJiEuyAoO6olT5IGxq7GM2n7arrci0bP0I+Tpg09EBltgB6k
tA2EUTcDxzFUnAjOoHkbxzC7Dt5N/mIw8d6CxBYww4o259qiSNhdXEcDNeTO4jNLJ10gnsR8hyNR
lRT3Y/OQZrk77U0wJT84x6x647Sadm8XXvLp9U77vWmbGu2O1jbQrkop7phYdm8p38ZHrM8NB9MI
JIFiP4S/ZnK4DQEqDWN2fCVFmxWQPOc92nbI/WOgnw0P0+zcfiONuEVbLHtTO0iua32QzDDUYKVU
6T5NLZNA3woR/UU9qGrhF2pWpRvJQG/eLlaZfNcO+B05VHJzvETzbsSXXmMb4aPpKLbcedWQFAfy
GDPnGi63SVjLYA7w2iY9zuYLKt68ushKretrcLRK3Dpbq6kgX85zUkjyu6xq7gNat+p8W2WVUZAB
S+pXugd9X3d7q7AzWG0mBxW0ZFtX8B/JTuqddyA9dCoLH4p1HQHcjMhDZmMXhrIvrKkun0cmWtbB
LDEsfkf43IgqqHtm3+rGHYcWxTPrzfjoY+JuIYV0SbfBwdy8G21hVnAzzEldwj3Ig3rn2lfDWfam
qHRl4JGdlB2HWdHDU6QissqXBVLKRwfxcXQn6qYyXvHY5iMwAPLG2o1lwZZ5dOAf9QHyE8CJRAEX
eVpuvMT2mEHxF+e3ZAijcFOhUhwvO+pK51qUJEwQ0O16xbeyE5gbgt4IM/UBiI7ZWsFEb97cW1Mj
W6oTty9ekhjSMzfjrjBfctUsrR1IfbPcOi5rh8p2nG1/rKl9Dw5ztL3paUOCTczMZSC7tn1o43ho
N5kaEUgMW2TvWHb+SIpKtbPwzIu7Mh6s7tgOlriBXTJMvgN7KKfuKgziBsgWY2UqwwS6ngzk763d
DD8IcSx+ssjjK4atdbXJGhNMZ6ejJ8AgxNW4Qr9PSlyjzz9o1nLbWtZ6oqumGyBKRxc/tbLPT1i1
4jdrLMtHCGDzBQm4RhrwKWR+HqrKz7w070M+bt/LwvQdAuJ40ZCRtXPqxIswR2veo1XXWnKcU0ap
8JcijRtvXdiPg+OSOF6QJbpRVbs4DQICVSCbpPbwfCvzviIh9ugZzUxnx7JvRGL2M3BjDgw/xe73
oAAJgAiYJUZxwLaBAKuzJ+/VUGK0TAjnH/usau5CJqzfCFee902SW9amU6LwtjONPGXs0CRcofnA
5ZF+W7JlY2gu6SZ44PmruqDCWAiA+swK8tHbzU8VqT7eVvLlvuaVVU7BBFcWtai2aWuhvSXcTgiA
He3RPaCJLvmIxCC3WWl5L8og5UMVWaTTpVqic/6TegK9HR3afaLwAfvcJHXbh83b3oYYg656rx3v
8b5re2JvIkKQ1Eqj52TLexCast5npWgLyHKdfpTwZrpjqYn8yUyy9jknqXi8g9/phgGJZgQEjoRF
UQnCXL8wABc/2APNpyDTeuNHkWbiKlPr4rqE7frNgFB0yiKqwX0Wqt5Hie2dSKW60QhlGjl9iNCV
9ol9UNx58ZCRAyJV/VFGiXACV2jN1sQ7mdNwy/ojaqHobcjUvNxGDe2evWfPxcETbfyAWrAIWsvl
cE47s6ZVqeUk+bIhda85J8u4RZY4RIRhdZazKU0Sy8iDUZ9kxAZgh7Z9wWJtPvVcDM8MNqUP3y4d
wC9OIDxzWdXvDS8OwDVz2JPGefYmtQkLYoHU4XuUZ9FPD7MnjVdBVACYy1rfj7mRLJkbDuBgg9sR
yZtaJzOWWzzd2aE2MUoIaxVofjerlwXFQki0D3X4xqXXM+wyMmzs3YJ46C65AxGoDXaNdQQr1Lw2
6MOlp8gwczbEWIbfMt2AHJxEifozKnIlmASHmqUC2PeF3ZsQD8Z5ivd9PNQ3iQZQwVetKjcuXUjv
TKRrJmUssugJyTGFuNSMPWpIQ9lyFsvyQrdCBhe1Ph1xbEFFG7uO7JmFMRIYvTdeZPXY3Op9hLBI
jgld7qiZrT1Lu4THHyek6cB7An5F+XkJf2j+FotC7mEwa9wxRl380OxMjsDJTFKLI7gjtHTxgB0N
Rv5bb5pMep+O+1SUli4RrSpVcooGElhdeuk2UWFZUBLtflJ5GQ8hhP4rQLRKTy2a2rRSmdscGlOV
GzuDz+7XIm3CSyXyiuInvPTywqlU2mg9Dr+Am2yyTyLQr36qeE26Z3pt8EGa9RxRO4Cj5im1EJq3
cd2/DnJ8lh5m9n0x2MbkV7pW3kQTgWFbdcy8LQBIlewPAvvui8Sbw01Hi6rHlh2ryLvcenyxW+AP
REfVyVIhVAHETGQxg6ZGVLf2+DZ3ugNpvQovIo9rDJffVL/I6VuU+Ne15sZyEo+FX81lAzs1L58U
bhY/mN7balAnWQEwB62ecYGuW70MZ6G3AZAP+UzvK56OBjHWQdYWbuMrkK7KLbuwzcc2eWw30Lxs
8rItbomIADQX3YRVg2X3MzIstVePfwZPXzHzX4rZy372degYvtG19QWI4rYNxirU3ANVgQOonoFu
vbVJtgUKEorqvnfp2/oanFC2IWFPFmaKiLG0RSONz3uU1c04tUa0Q6geTcQUm17/WIxV8V0HpELg
YTQjmB1oJncevGrbGy7b3GaqwRZg7FQyggxGaA69mCVr2dhhwovp08EsvuYWNWYbinWGcbRFP4dw
Mh9ZUpLcJWon2ts1rmxy0VxOOmXAQeCTzkQhR+yU5JqBLp5pSjL32o2iO2GzU1VZ5tvMSYcpkFld
TX7udLNz7BJnsILchFgZhFDCJs41UrouEZa61YHV1FNsw/0aNl06AsbT8hZtD5zfTm2esHtU99wE
5HQlhFebd4XZjwY931nvLsDmt+F3HifGkpM0RLbloTBd32NMmFElJIp+C+/EEhuimZ1S9x1u7sqN
mVS0w0eTlDB/MTQVF8Rjasl9N+txH6Sl0Yb9Hpv8vFWqyR2uGy1qFbIMRVOSz5C2JsHiRbk45et2
HD4iS0vbfeaVWrQL+8GpLljXxetAtfOEotRRDqY7z+ipBnATvEn6QTlxSSWgz7m1W3kZhZoUz9Oc
SCeA61grj3QkehoRGbED/X7AXUbtpFZ18gA4xLNuQ9dr9WtL5FW5JyY3lLekRxK6jifL0A5EmBrR
qRAEGh6HwVEawlwLbeTyhV39gfMmqXb6TJrRjZWUFacwybzqVYnOn8Qmg5Of1auG82ZEWecSviUH
+STwQXb7vtOUDySaXrpnmy64JoVaqu3rQvSSMQDl7ZJgbNUXba8NbOltUt63BLwbKGuVttwI5JtV
5pv6GB57N+YnAf0QzdZxpmakEp4V9Ikguwf87kbKxoRU1Bs1VOCeak5XdQct8xbKjWtsB6drjUfB
VbpIfRXdJ2xAz0XYAz7Rq3ikMjk8dV5fmB+MD+nyxhXgGx998/SiqLYSbnrbC98UvbNf40wWGkHr
nd3v4gl1EAzzMaScBZL2GoUQm/20crThNHqq/JH2hO8d8IMYdwMxVPmB9kPb8YJqd+n7jZVxObiN
cQn1jEhEXn+aHyIltOJ9as/DY2yHVEA+RbN6PxFtFLPgACzDRB6TKYhnujezLIen0R2jEZ6tHnZH
vs+lzUlqqNhA7bOgz06GEAEJVjZYf4NmJEKWDDVIMDIEoNmmR7MSNEapJvw1mz9kMxZSbmQ4WtM2
z9nTb6hMyhhwHvld92XW1hDs48ldwJAoy2T0Msx0hpygczQOhEliWr5OGrNWLl3pGB8Vp1Z56+pp
fw9pgVkVI4imJIoxc6+FCUx7W08yPLSpK4rDBDRaOaiSgp2mK/lmwVAxGvtJUzcO9+gAljapweQ6
GIau4qnEl0qpW5mV+yoAlU90Z5Q2bSm3wJCi0KQbdaQPj+i7sdHUBMQCLPuDM9T7Cn3BowpfK7km
6YrWasBZb0aMveBCbAzRlcWW9jL3+gQTch4g3BsU2qJmhI3WNEUy/ajzhM4Dz6YgeSPXx/6yJeD5
gWT0LHsl4pf+mVW4sJqC1mOMg+LRs0Xjaxgj6CmIMOzCkwW8vyRpnsnXNxcWvnHsynw5KlSZjuqt
TUbNSAiho8rANBptj6NSScKg73p0JrhUWfwV/fbMWCAyA4F244ZbEXxqogHkUPhpTQTWU93ixP/U
BZIw6jxKxWokW1ytzXunMr66BV2i5HThRlDgXEYqAxmClaQXuGAth4g/aNBAh3VDZh95nWbxkVHQ
7F1VhqvnPBFw1xD+d00bRGqh3hOzGVPTVpFIA52qm7Ng7AWIT0Yr7FD5xABXmKkVE/amRd9BMnJX
tnm2p22cwS71iRXP6lvXIgXsqlb7NqFJlkNSsEeqECPvN0TiAhSo6S74LJzqouxLM9og6m1anwtw
nh7MifpT18Ox4RvSyw9K1NTdzJEI2wvPrUT6w0moKG761sIktvfwcI64UdQStCuCYYHGgXDwm65v
ksUVUsfxNVoNBkAlV+zSR1ApmY52PagUxR2IZbStebxUFcGdDHUDP0XIQjmOPdAP6RtlzOipUCrH
ureBqDGl0TJyKGWPBI5dti6MoKltpF0tUDVlOxRFUh15NcqT2ifOuyFF/BnTb/cCgCBzvlEnT+82
TuP2DYEanBtXRQT54IQWwWZjjpDF+ZVUCvOYlYW4nippvqMAQkxojbV1S7XSOpcGdcKdygRBbuaq
nn7mdCLBCxiOc5tOqZ6isMl15rnEcDMlDQtzCsa6AYsrm3hptZqtC9ETDeaNFWsaUR9jBRCM53zY
0c+iWaPldAEvc9l9L/RMY4RKyWkfZrLeHF/My7ilQ4eQH120oP1WFeEMBSYp3U8x5sl9ZI/y6DTC
DvdOa0aPFshSwTR2soNqNI1tRNrqsbclwSnJpAL+Q0ak+YM9arPPzCYWt6MdkSaThLlxZzW0e69U
rcXX4+bZeAmjjCm3FaLgqogNrXAVCecj0pz2SaBtyn26IvI+EorFbAXq/b4pax6Czuph3UkY3ygG
LbBbiAYq/Vsj8uTFGPv5h+HIkFlKrFT9rvYcI4h575uCckAEQ5zYkMYL6uVQL3qY/yOFDRVYdmFa
XXWAupCeGG6lGkxFTEobjWUuD20VV4+VUB1oRoqqOCdOJgOwsI4aYReiGqIOJDPVDmatl4DrUuWY
SeaqASMfIz9W+I9hpAoTsUSWN89MrJbxD70ERE0UTQXGQlrYrhNyZw97tCCg+ntSHOL+Ahlx3EDW
iqzkUUVJdZBaM2OIJ7yFfolj3lMkiABJQX4ovK6+rhPDfVMM47YQbc0CKnFzPvMxKe9FX8mgCM1+
m89Rs51iJs6mBOIqS+gWJ258GhdnEdP9IOVUz7fwie3+0prQSvi1VvQfmm1kdod0oWFiAP+1g7Mk
LbqIINXuMU8qH0R9L2W8J0Yrx4IVDSc2qOrZDi1n+PQ6p67RQAN3n5gaTk60E4I+H7nNxhB5O9uK
IQHOOeKYiUSJxm/x2ZjcTqve7nWqk8LL203sqVZ94/1f9s5suW0rbde30jcAF+bhcJMESZEUJUuy
ZOkEJVs2ZmBhWljA1f8PqHS37aSTP7v2ya7qk5QTRyIJYviG931ep57ENf1jE1VXg0r7ABXIjEeY
u0/mkgeU2UUfb2LPSiPnSD9Ld7Jv4K71GRl7ENu+UJ3QRDLhlnW3p2Wupnzrjk0xbNlh8rgmi8dx
WRa5oC0DrriE0W8Ya9I/Qpoi9MHqJCtFTI33+VjKlZiMHplcXnjgFUWmbfyic3ecH4naCaa128jM
x1DkIyEBbjS8Wb2i0Qa6ad9ZZfrZFob3vbfrkJR3xrT+LC2LYYqyXmaM9Wu2F82OKHnvsXZKQbEi
J39tx4bYQFKzH9hxxt+UlUwYngzy+KBA5e22mSp5GnvVvdlIq0+knLspW6Lqqgb69F2ffSPkMVY+
udL5HPUVPk+7a5/KyUjWPRLyYzLqzSOWENNjgR3JO/za2We31Vg/1HPK2V32cMSjmYMpW3SCKy7z
8Y0B53DT44/uSbwqPgbzhMakKOw0wJxpfaElcnDdoUS76VzXu2NsJFfVqNi6zHr8IIlgyDZJMsUE
lmTVEmLUTcVuQYIzYqafhszs1S2JFQWPkHWPsumc6LSFlIpqRyLj57bXoIw1jCSjIvZPghH9p2VQ
6++T1LA5Z5ik3rk+UiieEl+IMF2kxq2nvZpxPbzKRb60Etz59n7jnyLG9TC10N87q8FqCPKjEvoY
ldSvHUkJTKBQ1IeIPyRKDzQ1nIP2KjI0bwNFNT8kOC20Te6nnnVlmg7lruhV9aSEhkjSHHLJPs+w
0s9TLuNP/kgBWvcRv1sn8HXXCAPNhPIs7c7Jg5cU+N5KHwfkMINd3Ec1Fv+1KNU8Ah3EiEUD0I8v
U8Cgj/tCq3mINT0MfZEb+yx0fOMga08827XX7FxXg1xYo+twWdbH5u1kab63M7JRZGgOAlQtuUOH
F5ksdUmIto11QBzTvNZbxxZ730y8AA9rZ2xnr9XZycCVSXkbUy/XMx6bO4I88gNIEuJWkM3dG000
mCFzyDUseUbUTJ3imxGx5mfB9G8Xs9pn+OHP69JtfWPbd9Ld2H2T5es4qVHINzpf/KbSYIZos9IP
PBshbscJC8blDq1/ohDmk/ZG8pVgQvHGttYwaP/b8gqt7jLB1hzqpMjKTbEriiiOn3EzVBYrOb3K
rhwm4zpudi0rmuueozTcjpYo8p05i6jZBkZZ+aQDmJrnfC7hCY1fUr+CCyenZGsFhIbaK4sFGeE0
jhYNG/LWo3jnJ5Vb7+bWGp9KBg7ezmO1Mu5HnrecFzb84TnPiybfOAOTyse26dsAnwZmz+Iar4as
omjtz+MUBxT6rDXsNVXGAGdHps629jR1Q9aMbq+kATmeZQIf/j61Glt99Pqpk486gBbGlkVa12qV
Zrg/tKk33U8ZwtHiinhewhII4f7ecmPKQmgBxjFGPYEEs+8ZeOtZbaHyg+z7vWtwEa5tjg47JwBI
Q30Yam36hqhj9N6KgDTdrYbmyz+lDAkaKHVe6W6x3FK55Lkf1gyRSQlroH3LFQyu0bjLIeQ8QWDo
y3VBSPfOqyP53I4lisQkTl+hD6fTF8R+RfpayUwjfGwiYmglC88oV9PgJNbKZNczrE3DWgohwbxg
l1Nez5th6puvOM2R0/lkoT3aei86tqG1fJqGRj10udWsuWrSK7Ze+uPg2tP3pjaqV84Q/HBOUgse
PKUXtobF583msq/Ibu/zxDh5kQyCm4xu7oCa0nlJsRkxaSC/69ofmkTdNqqfz4T+uUFozJGKr7Qy
rUlOQ5CDhoDVkIN53aPCj5JXl83BnaCsbrlV9dXETpTk82eHVXK2xXoe6zslBFsYRFpWGDHq+0T8
t9afiSUY3J2bU5eHiFEkJL5euEsYaqAFK9V54rXzssHYMGaKd4IYJPr9YvRqfRsTMJXdtbmLkqCc
gQOQxD629bzjXhTEoTbnPMTm3k5ZWv7Xb/C/8huAvYEk8Z/9BjdV/9qm9U+Gg/ef+c1w4NkfLBOB
O1JJYBc6BJ1/GQ4C5wNwGxcrj2uyjgb28i/DgeN+8FEP6x5Q9wVF5/NX/zQcGB88bHm+b0FAXxIz
/pbh4BdduwlpDxPE4nvA1R1A1P9Zgr8YjJ3IYmbbF37snuntC/dsX6gYPxyWPxD7/+qXAmiDfwKy
GiYKDHu/4j76SbN6u3CGY3OxBmp1pH/xRIwy0tI0RKZxiTjj/az9ySTzo8Hgd69pOyB8ULW6sNF8
3EA/fzgwg24FVhHgyUW7OoggN58CAhSR0aEhlYsSzkIe9Tc/KWZVg8/p2iZ/ICXg51cNbI25oWWA
WBMUK2fqjGlepVIr0tuR/Udy7ygLR8Wfv+jv8Cau7WBNMcg+dMDj/UqcMw2bQGDu/QfXRERAbrJw
XgcVt8SyFNnnP3+t350zrsP5B6gQrwzL5l99YLodxEA1wAMtUmdCOkrm6kzGsoEI8L/4Bn//sRxk
nC4fDSaSZbu/WM4G9ipYw4PmUE4SnTyKMxSj7Ugm3IhON/sL8NMfvFoAlCbgHxwwW//lfMFwWQSG
Y3cHf5z1NyEZIeJjQ426KnSRis1fHMbf8XgWI5HLLWE5lC6L8Z9PlITpchSpqEQomaiKdOgGXdqz
l+M9Q5DmBf2VVQ5Bfi09wLZrSyuSDOCFDlHZTD0qpDoWQ7fXJUK/0AQL0G3rdgisMM10W99ByJSM
xhiNxC+ONlXNwSKISEObTTjCxtc7NgeINuZyN4yDme49yok0Rss4EsEzsZvN1g0pn9Fa2KoG8zxk
w7yCPl52zwTLQ7HujCYpTonVE9n7Lu7FkhTPh5bVQXylXENmd/ZIPMMBIHJWb1iGFqj/SwhDhyjV
iG8VtATubUCQ8LLK8B022pn0JGPWJsCEhGnFIS47WPnUO6r526cWRx/V9BLH51BH/nr0e9UjT9XL
A9pHCA6+aeMnQkFktY8RtfDffDl4UnA9yavgfu2YC07t5y87m7wGeZrwr8h2lsONaejofaN3/1ZE
ovJfnFye9wvEixcEkskL6f7lHDN+uQ21djVELRHdVyknn0ZebBXYd5h5rcxfSb0fspSjnDj2IuEE
mZ7Z4xCRpgN8dZVOOSJ/HPkogGUBVRiJxUV13Hq2i399KvvIDB4nxUThuh3Bqk/hVFml/tgLEbTf
8pyOZFjBysi0nhAi5fq0UdbIKkafTa3ttxBFONqZGTOXbtAkPAq9cE/j2AvYRYMRPxTFkHXrnvMk
hZpSO89zj+vLREfbrRNlu4cpYfCKx5p2yt6XI0btYTMmyii3TCYsez/IFNAyfmJR1A9FUnqowCNT
8rlIj1xk6RAdKvdNaTgRjFXPCWLPRyGbZe2koTVAZ+pbbXEgAKBFt/9+eJiVNu45Y2Rn3kwjAo9t
7/J8R1lJ+vXILkxDzbFJRZU07B66cUZCE9CiiTWLNxqAlYud294rZIHO56Kx9OkYl4HxyqyZGeiG
0SWXvks6lXywTXPsmFoJ1EkZkO9pN5Czw/hXEVRwNbDSVtuhrAdWEQykd7Jd9tI4KtOdhTl20/ZG
eSNq1xyvXEFc1DbxEDSdhqDsBeaUXnj1Y12D5TiatHhnzZs8yZKeKCiC+JJxMwL+YKiV+KjSEqcO
DrFDTNNWEH9x7Gr2eCEzjaAM+zLw7pPM1a8HrvuRuCPLfOHpmB6wa3XuCiBQdm655/COUuNRlSpe
sQV5dZOkedQMk+djOSkC0GZdzDsT7hFFrWU3KBWTS7ULTZrKN8iTkjKYx1G86y/V8bQUyrNdUjPT
IlA/25da2rvU1eN7jY1rN7vJwIhim5G6Fbpm2lsn91KiTwAdni2bjcbGGO2o0TdTZ9V3SBeTVyPB
F4z433D2I2+PTzFH44E+iPvalFn5uB3w9V0Fl6ZhWvqHaZQZem+kzC+oPV3AeZMXUDsubUf+3oN0
l4YE6ZVH0DtdCuGvNCxob6rXEpX093peOlFq+2Y9L51OsvQ8zqX90WsHcFQ20RSVut98LS6tknlp
m0qdOcvKuLRTqWRGs5onQZvFZoCWq760X/2lFTMubZknh/S1W3o1f+nayqV/I3K5Aq0zvPd44tLw
BX7ghY0XIJq5NITZpTmM9aVRLC9NI2+3997k0kuCKKOtBKix9JhQFWg4YwCz30kdqsIsTr3pGUud
ax90yxLBHigZSpH80srGrBfcT8rw0zrkUyxNr3/pgBMb5OvOiTq0OSzbZ1r8UpJhEmo8+eMn3K5M
oDcsEui7klD1KAy9s6qnama4Y1btF1/z02xH/rHqV47RMP9zh2n4OPmdO1+RjN13n8a2Evk1dDtP
fybQaEqOENPq+rqdZBJzIMvphpuXhzFDyRHdr8gqdXAJnilYuxpjnzz4EVTnOyfVmmKlTxyGZydy
Rm3N7aAgQbiboecJaSBrZGAlETb3elusUmdoEV7xJNbPQ59pWui2BEZv9KH8pLIm0K6ZdHsWW344
EjvecSCfmE/5cA+nxrUOs8Xsjt2f1CLj2lPBmF6XuC6Dl7qMTbHVjRgJelnGcUmWStC0O6i9Ul3H
2YDi2zA1Uxwitkj4axmOqG8aFZbzWefeDJVBNFp5iMkE0x/02fbce7yRVfwKChIt/corCAu6Y+AS
RMcFa490tdIjERLh5kPHAvsTf4wNu2zW+FSnZB+llRAbNM++Rlxqj1dtbTdJZ37KB8dH4DeYpY6b
1jDyYDsxZ0Qj1MwaBAikDoukqijb6FmNqXybYSbpL4q4H+s0OVOd7VWp5c5ZKaRSxTqJaaMe+n4M
6i11cGFdk4yKyC6ZSIBcJbbniJMlJqzFCRwVEuZYHEIKIlMk5pu1uGN0D4jmWGlu0FgP3IUYk9Ui
WNaOOV/onHqu/O4QgeRh1ssy/0wMj0aK9WRl8dH0eHweTB8o1bn1IMrDzwFwf+AmhchyldZWNSx9
fqI95Y43DS+oOFTzuVfY1Hc15CD3hbzyXgf8FXjpLsnhrWxMgQ1UMmfLwbHhvcJXwmB9qIHjTJmt
2WGZ1QVBlvhlhukGMS9RhxstThDcXi8Ldq96ZaExRuWmyWZsJR0WoykOZdux+QvHJopkv2e+NJPj
zrqY8QRbuK5R3SbRUKThWNJ0FOqFoXSUVIgKHFt+LQhCuq+lVWklPo5E5juK1xLlBGeMMj6yyI2L
cxC1AqEOO6MqHFrK2j+IkObVZwyYXYNL5+9ESPe6mW8r3B37f+dI+4YsvnZtFjf448mRHj1Hnoyh
QkbzN8Kke8qLDfVJwHCnZiCqMoWtfvgbgdKQ4AgW4Vl1OxeE1P8YKB2Mjn/2NBm9/mGgtMMU/KrG
F9UfdAIkgrXrkqVAg1ybt38dKG2kZfBGkspfBEqzWNJCrXIQx5noqw8CX/0muSRLJ8jq2+17qPTg
NK575SUtYQ1YsWJ3cwmVtrVUPCFEc7CK/l9nSk/MGV46lh3vmdJFVye3Kkt8+GNVu7tkSqeJbuJs
sysIhf85WDohxOgZK2SNuRM80BIsXWtl8TlHGvJrsDQSxWKbp77+Ze6aYA8NPd/QnHdss/Do1rmT
3M0L6ANV9v86Xho/u2PxDDODT3k2u1S2ni/INP4hZNphPb1RKQmxa3rWn0KmSQMTihJKOCS4uYb/
Y8j0UJnGzu5KzVn9x6TpRQYVZrz9e1vjcgBzSVh1KoJvZZdnr8MfBk0PSRZDKIFx8SR+SZumRhXF
ysF4gsLk32nT2mygw8vn2fj4h5HTbWlOuOOU0Uiiov4gc7pw3DzaY3eqgiNmT3PejzaWgX1NeFxL
BYD5trvt+3rJskI3Dfw8t+uJLrRITMzG7+AmH3Ux/8nQnKp7Fuyqtfup0ZNsZ7eggO/hTmEdjWN7
QvmgW5kOhYpBs2GuuDEBVJpIWH7u8GN2tzKtOfVdBAsZyybksWHOVtgKh7JNi9OMQqY8IiMEQcpm
b0EhJYVaOHIyypcsG6Gjfce39M76GzDrel+5VkV9g5OT7jtVmunuDK3T6VRUxy+rqsGCIHl5CwpI
Djuvacwm46RXfkR8amp6hjgkSOGzXed5rhXi+uTP89Dx+wpL8Il90XZA4SOddmGF6JEozbXG1BJ4
lo8vmg/9W1zKhB2KN6uGkjvrRs6UNmEAhk67j3yXZ2lWwGR7LISvl8cSos3wTRpDm31yNSExZs1Z
YX95n/xVQUpHiCexrm9qQDYc6stE8P1ouRawoTCb/CU8nSRyIl+WQ6yYhnXbzuScvc00mwFBPQSq
v1YGBXvYZ5WubTiQZgkSARPtSTczvm+ZaHxSiJyedT0ifrJChS5qwr8d++UhJSrE2L9ni6NILMtj
TjmePicloa3/zBb3XIJHH1gCLZ+eaX+NAo5kH/m9r/Gc8TAbcAnirkqrxVDsFiXVRatXVpRuB9zB
zHjiscyLU8wxR8KCjT0+tJynb0GSzmxLRRdXIyVoHWhsmmMwKantozmDRFsRCj3jVthpTtsVGPzJ
DF/jiOz9LQyRrOQGoxv3GTObOL5WgC3jHSK6XO6wyRbZ97mPRxNnoI6fBbOCOz9EpkfPLTxkL4d5
7BkBvcdIdUWE511Fi0M79kz9S4a2N1+2PzGOSZFUZRPmGpJDxgs9oQArvxHFI+VOL+9x9dJzjhbD
5tdMtg4cmNKjzzaHMXH2vk/3c2yHGLEAbkk/OfFoT3otNJKk8D7ii8eon8meLruL5qWHzRu9x38+
j1VCmW82uBzcxAXpZ6gKYzmCW809EKNnojPzKt62pRx+Gpg2y3QDEAd65jJu4lvBnAGt6hzgGLcu
bmcArtOExd5BqAMaoI3FhgBaY9wIx8Zhix6A9L65mlt5r8xGw78+GGz3kxYW3Iqjg2NY72vRInuA
0v8pabxM2WvPmeT0VWt83kWA3JVLWXYabMw0I11D3+R2Rrrzqqsy6Ddo4MfJO6JuYpL2a+Z8RxDn
tLY80zv55JKzrvld/DzWp2jmY1rObYWpmVyExjHfaqbvOjMuYjT3lNlcKLIjhJuou0QrrGeYtp5+
+DGVHuxvVG3M1jS5yKbCTzZ+IFT+NaevYnXf+vjVJ6iKMyYvDd/e+c9nk79MQpfhEch90/F8Rw+Y
Rf0ydzWJN6CkUs5VnuLrDA0q45QU9awEKcEmNHmfVv0XZ/UXOCuyYRg7/uft0v8pvnxre/YP73Cs
hYD1/iO/LZcMgy/mN3wVmeD/Wh+5+gdd1y0buTrMImj6DP/+uT7y4VV5UARZSiGPQUn/d3hVnBjM
Lf8NhQPf7nK26z6zeSbm7Hh+YTiRQmqieYjNG0XOqSmvGqCpo/7YyUHXChx4tcRUcIgjZecH4VVD
/ChcpE1HQISyw2Nh+tWeIITWWsJGTOJp4thFR2xgHkx26Fp1Wm0dsb532zX4UTcMPUeEGtPkRF+d
mJnlQS9gdzNZwHq+1ZSHEi6xQDWzhA1865XEyzY7WGnSE8SJ4sgrnkdX1+TRr9j2i8PY6omg8fJN
SwIDu3c8nSohWaeNg0WjfWrSUjugNq/CgJ7qnAZ6r/NAp16opOhwOk1Jvoni8on1lbctg6UUXDQB
1+TmAC0tkwmIom4Kuev7RkeJ7dQgxTNnWtNtb5MGxARSuTZ4ciYrvWNhhB3YomBCRC1UdqOncXco
SBJAjUZLZnYJ4euFNzlXDpSPe3+aX6uyVPdC+QhxCJsMRxx+ByfFF76yorK6YnRlK1wgdf0yslfP
MLsAXy5mYqFR9+FlGYZNb6rpTvOaYcvdCl2pa8GDqsmA27k40KLJO9harZvoDLzkFvKQFfZBUJFQ
F5SLMw7QyIki3tvq1jh/LejmEMWR9bJgJqW/ZT/f7RJGPghQtCFsCr+11zmxnRg6/KcySNpjiZ3/
CV/z5DGKTbRHqOw5JjfDC2ibq2EmudUwNJJ2W49lTGl2180iFAp86X8shZFv2rQdQ2QlYosTtm5W
iBO900xOUGg27ngmcTOG7FJpZljYjfuJESBFpmK7j6Kpe7GTDMOqQx7CYSJK8sEYR4IwcTmEwYzO
O43GswMT/YVQwvIhyJRzXzq2syPH9+LpZ2S+sLSOYyKsI08ttRox/t+kZux/JbQZK0aLcuAGgvpI
FE1TrRBWOqeh0p3P2tx0eysCVWCWA1gpo3EXNzDKmAaI+o2Jv/4qKZyCr6nvj32c3lSTdT87Tn8D
L93/ZjVud1VjAYuu8DXbKxOQ4GfXDea3CYH+PauG5Es8uYa5LqvGPVXz1J1d9JlbWUlNW0dpoR+c
QjDtSrzBz9YJIB2M0mnyONbMtQupiqvUEpLvGlCcviqCuno2DIMCR5XTRjNHeTsisd3h60H+PTd4
vSgB8z0D5XHjFjXWzczWq3XnMaMVaF6uCc+lYDLq8XpMrG5TZaWgbi/pPpnCbok2RCVqx5+5uqKb
wfKyLcK14iAqRqJN5iHpr1CoBcrdg+ByV5TcYmV7gGiuI6+B3FC7pROmPbxGzcAv27JA/DiBXro3
Rxe7Clo1tFMBCkEfWKq11qJZ3072ZD7yFMxCsGHmap5jzVxlwBfoIdK3LJHa5zJGtpxWMjkC5kE9
i8Qtu2odyTKujgjxJmyzDgn/xZRE2v1jhG69w75Q6kdyYPGTdz1SNN8rb3iiRlu/xDMN4geEDcmq
eoOyZIYYFg95AzTNazY1RbyzLyKMfysfjDHB5XY07tEJHbkz7mxCRm7UqCbwXv54HYjaD7W6i74y
gBtoz6cWC6LSPX5Z6azpBTiVU93Hm2M4UbDB7cB1PZW6SfXQY5WzbfUsFtdZ7WKe18zO2mlMP8pd
MszJnSGW/iyO070y0HqlbCnewE5yosbBcI0GMH/I7dL8zFbBh76Si35dFUEc4xgxplMfZH7olDYQ
GAbru0gMxh2AoCAKlR/kq55pYcjNoV5FkFyI507msE5n9663Hf3V04ZaAiIajXjdVDPnUT8k52Ju
W3NLFVTulIOtGQuofqCewZ2VVaxO1zpJGqHHWnNr4BDeRLNTf4xAZL3kozHuE32cbuOO71iPvWRv
45TEuEvc3xW0h+nETmnaDKZoHrKhb19araJkTeZYHasmda8Mt5S4aOC0rvF4j1u4/zZ/k5v3TYUX
qPXENwHS45MmPTb+9oQmfDZxoOxUUiIu7+c+O8a2na5Y+81bplTjbawch8lrMW4x/Vlnh4xfnE5N
8hCRMfqAhQcxeat7y/g/UFco6XikEFBV7bVeC5p1WhtfGkg1KFiRkJ202lI3cJ/akFlcQzIp8D2c
oD53mkT15QbDfrGGg6ZRiIOFPJiTFtxXYnQPElvLXa5QhKwzaSfPg1ZhEeiRdu+swjS9MGjzcuuS
BgFlrJSkjJpD+5pPmnMehpmnZtSlFsrTSe4a0/uIKTlnWEQ417ExMkpVZGbGBs9VMPKs0pg/92hf
B1z6aM117wYXLXnFQ1eDC9OV1tmhBLR9GlXpbri0u0/owCZsKL2BoW2YujVBp21MN1HSCSQaP0Wk
jX41j6yzVq5ogxnKkzF+wlviiLCcxljbW31i+atoHuQnutzpVs65dYOMqzE2Whmo7krCB5p4YsfB
C2/ExOuDhXvjBNX8XYsWaQUbrnaFrrw7YDupN0lOrseqC/jKgFHOTzWDm02tJdzVbAYOJdYehKBy
mNCPd+VQrtNEqA3qQe1UMzrfCIxh20bF/ouZsi5fBYVdXheaTAktz80HnKnDM2v4ahNn1CYrnCMy
3RKm0R7h0UljnQ+xuKL/aTl0oG+5lzXyIStK45lYmvZTFtSoMfNYnNnd8LybNa147TPgzjSnnnUP
iSQkPaw+NW7C0rMpkSiG0rMGsW7sqv5oxa4ImTP0XX6fDG3tih2eYCOQx0th+98W4C9aAMKPFp3J
f+4BbsmH+vrtH+Hb+Nq+/eOqK16rtx8bgt9+wW8dgWt8sIiLYm5k2oukzKIe/61BcO0PDhoEV3cR
fCHc94HY/sa3tb0PBuQGREs0BB7N4D+bBeeD76AqQh6GwODy2/4G3HaRuv3QKyDFwuWGFM70sMB4
hmMuEYw/RLo1LiRBnEkmVvqpnz/nCICZcQJKtLtz2qZK/y5HbmDlxh5m1HLQJ5i++WGAGp3Faz0O
2u2A9nPfNN3gb2pA4Za+Nk0oUF8BxBo6/kFjTHZtMGlUMthAPQI3IDGteqlZTCwyxFHk2uTIrVsM
VRVXpcb0YuranoTFeUgbbkU4K7g79mxOVwBCtR4oYwmFA0fvhB65jYNjjfvvtR/w6xXwhnLeSBrI
VVDRIIS+pfJuswwSCowYsKAPVq+l/Vn46ptVmimJA8y9Qp9MTTv04x6kBB+r3faJ470hq3Vf0xLI
PlYD7NN7XOMIDFbgWZ2KvaiHGzBZyzFBqbNORTMyncLvY3jzFp+DbzzUSss7BSqVXgEvRpoOMAw7
jUET3LfV2A2gUdsFU7ArGe/j0Shq9La7aKA7O0rHKpL3yLH/11f1/08EaotRzZ9dr+davv7j/it6
/p/6diSby8/9dpk6wQfUR8xnGS971k+qUNf9YKNBcxjhkkb6E4aay5REBiREAKwt9IU/qkKtD7ZB
ZF5goHlk1YDc529cqUvT/u+m/v1CdU2kaUhCeSO/gplFHTAMn2xjx+4P+bUOVpinmQIhiUPGP+Gj
Q6uJvsv6sryp3Q+H6w+Uor8Il1DLmoFDjCd3MINgkOAXYVYxanqrMM/serTmD+S1BKcYz8+psDz3
2tYCrsLR9Q5//qJ8G79+ZhYFBl8FWbSIdJe5yE83J0erpyjpqmFn15ItaRYjpYlbuz7CA40/4xoW
D5afRI/+AHULRUjGXztJcIIpIJ41s1Ux6Dobg6rvWS3XLDSMV1sM7T4p+/qopco4C2wYiq1txHJC
wA85sdpo90GUTHdZ2sl513IvZute1UcXUx22PW5zfqCcV9IgjLOZ8q+Xl+tkpO6wF/vPAxo268SI
0b4jhc0/GV2rENobUbEhKSWdV0L22DGoXOj8KTMDYCy5xkrDxh+/lSzK53XLTjemW8IMuy6mPN8M
Oh5BEmwGcFVVRrhA0OMIhRR4VYiy3Rsm0qiw6VpODc8o5BSacP0efWwAjzM2uQdCwjzr40To7dFB
vSPxjLvBYzfHnEVwKACRLguDXsFxWrGQ695qsxPPPh7aFXDR8gQOuT5OJaebKBQ/2BvqLsOAP2Gq
07vuluAZPhmEvHZfj3p9hFY20atmpX7Tml0QupMlbYghRp1v9dIDqlYI9ugYDWCrH6yhxmLgS3vN
CzYj5TAJVaEHlildzcnAdl3vNOxLqXG20aYlh3FSQSgZsmFGjIW6ZWac8YzSfEeFmI47jMQyEs9C
psHJJwLqLDSb66PIK3XXQnqAd+FlwQkpkXFm0txYu9Zu3Z44XTRsq8Speu78E79deXBKITKzFMB3
rPCpL6DO9RTTvq5N3Qk+mlHbPky0p+6mjypwY30FaffK6zkRAZdaV4AYrYGGz+udr302dGerX95g
A8v4Gn4rJI/lazvn9lTvhmjoaR5IvcKsBx9Vrgaz4NRkacJkWonIeOiWwzmlutasIuRHEqpmzrat
rZ1MbWtGJ0QCSjuOVnkbF+2GoDJ+V+k2fNDA4IhDK4AdXQeButVrLHMh1n4eaBDKeForBII3AOIM
exvoKJLCSVHB7m2XX3BNCirPRtvRhHvSNbMowxjhTbcrLgfNRT5+HqUUz7pSvGU9aoIwKxuOZzk7
6q6ya/MhtTjVJGzjGvORqE69rfoIU0vHG5vMDocQQiLoYaNVOK98GM6Fbk44mrVvAO2q5HCVgaTF
xJmUqGYuJ33CohkPdcdlM2PjoYmbjOGW/yE91G2rvvdZI586IyJNCHstp6ZIUMFhKbKulMP7X4k8
NR/8qTDOWCf9zaRxGYeotDj6vgDojq2boh8P7MlO+VPsNbOxuVwLqdvydZlQkOOVgln1WQxllZ2F
ziWZwQZBdbYc+C5P+F3WDMKcEPC52VqTUncRRBxg/tLhQwpSrO/YUyQC05SU1b0pBYolOXLH0cYq
3wJY5UptGG/FdJQ1X3iByzm6MTvT6DYWaDWcNZ5lXTGHipn/RVJBmxxtLGbSJgJl3ULCOCNYUrce
HdmDqHvjzGcMHpWdGvWVR5H4COLRYR+l5NPoq5wmsDNVcYQ0PD0WQA8+xrPM9oM7DnFoEy/H/Sa3
LBC1pEWCUmR858ErZwOfl/xndhLBCZ9fsxk7N6tXHc+pQwNldnM5PC4DtafGUACNYIqj04x6hIFo
PXfAkMvdkou4GQ03eUImLdlbutkdnmGYm0i01poV0zyKEh1P6U+CzF9a1BW03XbvZHX0tZjSZj2Y
VrRKrTHadJNpIOKco2bPkCPgGnDm6SOI5YS1Y+5gItSlcw6UL8aNX83ZtUJDsK0LewTFwIMJ8Kth
3sK4615IERTPKWSvNwcLJc0ZNBD2jlqrN9vLo6NHy+husAMAJXRM6H8rBX7U3aBlZkdDTK/9Ggv8
aUewWy2Q5YEHU9GQfwmINGv3eo9EdoNytnkh+MU/EazLq+ioO5kLtaI+jvrE9ZwKG44WTgms+V0f
hKVNQuamtdi/r9GKsMVVslO3abeoTYGEBo+SmTyNL3yDU1debgnLtRAgauAgwbUO0OsFprWdDGIf
skpwn1zOGMZrXCFMiit7QR47j0Htd28Dm6gSskGXeccsq2WzRRrIlZCxK71rcjsG7N9L7nodJfAZ
OkJ9zIyg7XbwcPg4AyFbxyD1mm5t+0GxyyyTrzzwI97LCLFxPyY+BySnR073cxxw8eRV079VzSye
zXGBeAZ8ZSwZy+LFMJTaRAxI2lBLSf7Cps7PZktR9Of1yFLk/FCBUfw4JsshA7OMvyTZLNXKD62S
RetvBYmKdkMt5HcNYMc1PCJkaAUTV2bYefQ/3J3HchzJtmV/pX8g2jyEh5imTmgkFIFJGFkgQ+vw
UF//lmfe26+IerfK2qxHPSkrI0GkCBdH7LP269+/4JeQjxdkCojM7NL48756HydobeiNWPY+Armj
RyeDPYcmcmRgPukxdL2jmFJxs7hz+w9TF//DKyNRZ/7IY+zelc6XwMvJcgMPL9vibklA4ANTPFao
I/Y52k5yLSCsZW/P+4qMaPP3n9kUX/1W+NiE5QGj4FIgfbe0ucyfv2cQCWXUQDfdC0ytjDVCDPCJ
w0IMYQLriFVxS+N28ukdLD7SyVbU75Ww9cU7JMhOIeB7u96n9SEXI/hlM0e9oSI/HZSInRvKh8PG
7kYOP2DJm7ZDfTKjltu6RcdqhwGEU0XYt4fEVvHeb0X7kESyPMVAO9YdOPZD35qjj0h4AnXWx/lh
mox16zWPQzNB5G2QWiccSwsTlNdFKLy9aq3kV9Vn+qLp3PJnacFSqpewutK6mSMY9/hAFNhsW9MA
pcr4E5Vps3jpzCq+pVA3PdSSQNX0UgRTLvQmH1wV1TKjgYgIyvO5VE73GeeJ8xnbs7MJpsg52gzw
fzoNymvckBqONQZLzQe4T9MLmpR3B7rQDhQcwAKNDd0XSdpt8sbgcnTd5ntfUC1Yu3mOuQODLu0B
AC5xjCmX6zIap11aMMafhYDENipuojflLz7q6ZEmoVXH4S1zumA30UWCQpiW6H2COvRd0svfTUhO
sIycYaSqOaRQu/gRodJcMgLevBlBOq7Rl2GvS858Y1AlvY6rrr5OCfXWk+VxVg5Mz1krVJPmaxXE
lOn84eB7UXcwQ/wmV6BDHVqRnesAPuY6POcDbTVEG3eZ2hMl0Wkf5ypDiuwZ11RsEXuF2CpkXejs
7ByEVkZJ/CMpGcURccLQqjD6fdNNyDJxjL0h/Z9PDDr/4VFy+EjSvH5AY+lybZTFDS7JUBBVFW5M
D035yFTy0fKz9Gouw3QrBkYBVqFhpH+kvklfL8zNjWdOkoJz0PZoxyb/6vxEh5gj3R8bdcxkGt6b
bP8bGo4wXmEhvqZanbXCS2JcIW+GZm7Y6WpqTLyaEdDQZpPxtwJHhnbTMmR4D2osuh7LPD7YRtSs
uHLVtu2nXVnbICBqC1Rg19x4iiZXSC0XI4CYAi7ZnbNmgCTBC70qmJKo5gBqrUX4wfS6e5qQIM60
wo79oKpjmQLs7Ut71XnSuJnmUX/uyLvOGQS0V6AKijUnNrct606+00ze0CGHm2iV4lCLkSSGSUfI
Crl1C96AC7bMghtLEO0OsdSxlRiJfjJGxFB34xrRQhF47spIh/QteUqIIdJnlBc6Wym12inwgHQn
rgQjYc/DfTOVBoPiXnMzho35Eab4cDgEYfcCrszPubFKhDxN/Q7Rxd2PoCzDFmFM5Mv+p1NDi8hn
u+bYNZa31B0IaJiPO1Wjf425tkmXopuPPbFEs/ZcA7yGRS7wmjmO/9zPMvq0sBdnlqcrX0Gl0k2x
kvo0MGO6Dc2h3HaYlj1UUYi5dWcwIC782l27SRE+yj4Lr1rsQtaJ07/XxPongb7nNorAyWWu3EG7
NG5GUHPf44zgtxxz6w4SaXYv3Ma/anC20V6RTO9wc0HBDZbytq5D65Y8FgVOXA1HfO4Vk+azA12w
BpiQq3obZvPyPDRx+U5XWm7icIl+RNYgumvLzXkK9Ky6z1E4ebKG811fodACUGxOBCvk4tzu5zCI
k3M6MX4639fLvDw1lcq/jbCgs3VASf8B1p9OPLEwHVZcfB/UEPrXOUvnB8gOGI+4w3RagLjcJE0y
nwomh/aj06FI6KOfEfnDUyDy7BbiGm3vxR2vzz82TJl5F05jT/ZXd8Gr6CpEhWHhYX1UDNdm704P
eO0W7JEwcR7raqnWSdjTiMFKcXxiSszdQf2p9uXCseqlbvtkN6O1QcVdH+cOvm0d5+PJnU1xzTnH
BwC37XyvUVRGxJFkPnhZ8wVEOIirda4CACB2HYWP1uLY13gE1+8YxPCzS08xYIUZBk8t93vvg3Eh
bwMXJt+oXLn4gNGd2jPXZX/ky8TcjZtOPckWe9i1l/A2raxsFeCv8TKhR19ztwjy6TAJsTLnYGTo
qmMnJEGQQxdOqWSIujfgMGUnkLHw4AQSUlpPcme7SfsH4bz4gwiPw3JBsMrBrKYHAysKoMJJv8xr
WeJDvHEt8uZVqV+lr00SkBT7tteyk9ODk3BQ9xgzXOOBxM0qAH+uLAyfNkZiB69Meln9zvJxM1ml
aOcPsfLsd4d5jjvqBZXmMfoPOAFEd5hkJPsQIBAKXGv+IbsgvRJ1O9x6fadz9lmiG2Wg4L1n6+D6
PBZANyFJkdToGkbZyD5fj1UCr6QK/BvFNwgJvPOnJ9k31h12HUGwBVEYUUhGgBziszPDGPD1nPMi
Wn8j6YTehelA5n85dXWA5xou6WvRBjc2XsbX50S2MOeRUGNWlDBcl8fYluVr2qIPpWfaMVXXZAHm
Rc1CebtiMOYN98b6PTeKRUvKzXfIOe4NzmFkTg1BAviGWa6MRC+Z8zpF/4nfFWPqMJJt/ylhLCbl
LSWihncc022uA5uEiCL5MFPIKQGCXg34Aj/jR5r8FL41bqK2czbkAlAeWHB3jLRgcubH+TM62PKT
OU7xkXjdcMC2Qx3RrlJgQZZyEFHYb6F3UOPhF7M27CMyz+YdF2oK3b3oj16QghVyRgooPWXvPTgf
lnM1c2arKm7es440lckgb3qwEDIcIdLBmgnFMm+d2JY7L7Kin6FtVVe5IrLpBHtVLSnXuqMa7Hym
eXqyLbg+FQNyt92kgn0FCPI6d2v7UxGh3wWMC35Uhm0dSifMjotnTCgErGADxdPahQmkfCPTt4Hn
04BXdug9+CEQ+Uuqv+jMK0c5TOLYgQExsQD8pjAh2IZJc6oiHBkIJrIjFkPLJ6bEeLaFw7Eds/Iu
SnKgjBXc72Jby7Q/LjCmkK10tLlBWImr3p7E42jNckuTObmxCe5ZEU5af/eSaaDoEyYLOJbOej2v
Nyunj74JIt8+BkBJARRB61+PEJs3jMDWN0oI78RRHcoVtbjhQAEmvKGhUR9g6tu/eo9DBB8CP5tg
uHc+4dgcfq+jomcBSiQjGuFi/jTQ2W4js8zeepCOx3qZGuSbvnGD1gsP3Uwx7wGfrjlYRTquJLhU
tCK5uoYHMgCQXcr9GAfm2nTy5bORnMUxocsdCByKDpUuJNB3RnVjwe5/ZNzilM5d9ZLIEvCWC3YZ
MXIyrd0me+y9cNl5aWls8BFZj13DgYLqaJtFBPrnUx4McrBmcMkj4vYbBoNsqpBALo8pOTDQAMvf
MCY9PSiP/G4yKVRivR2+kvF2n+6UNy921vEXbdzeSSfALHEZnODVrtHzIo+typ/YsBj224xNTnfX
6E22BBx35y+vsznL8oA8AKHwfOo5N05xkumjlJk3KnaGLhyFgn975YA0Q9ReW+0LfElqVWZHAir6
BttovIUaMDki/hikmk7T2Jp3KNsZ0KSgxfsY44r7YU7G7tOfOXYXhK1oXXuvfHOqLHgdAbpe021q
uj2xvr/pdT2W2WhuDgFNaR+MrWttGF6M1jOwXO1BEEwnJ+ZtOMNiPi+eXUxgu9C7rGABkgPQgxLm
RnkOn0Ji55us4xQgH5oM/f+pyFT2hnyPUy9KyTOvKiuIvRtO3qm7Oxcy3aknvKE2yX8DuFvN64wE
/HnUt4vvKb4ihnTia3tW9rNhTlwUs4cghEsqgwBTLwvVrphqO/NTDx14rn2pr/Qkj8lSap5uoGP1
hfBDe36wcoBAZ/VjZhY4OXp8fe28kG/1c142N8xjRtMLYjd2DjCeAiM+ZqQI/0ZOEFrvoJNhXQSv
S5nLb0nU1LeBru2p2qfIAV6J8r+yHWaRenWgjcjTzjI+Vmg3ZBuTLsczFPcKvZtsI1O5c8QuCCcK
DOaDcc0wX/c522W5w5NpuXXaJscswNPHdqHrQee4p4fldwx9Z0JUgwRoZQkukGiRY7SljUNFOun4
2jvZx+GWiV9sexk+kWsnHbE+Iptom/V8fvnG6fnn/EsihyXhQZ67Luemg+LMZU8BoILFFkAXdYo7
cIEs24zPLpBxfToT7yCOMwQP/dBTL2p0OdyaCWXWczby3/PVWdMN+QQ12r/jY2/tQ69ONw2BcbrX
GWC5pk6fC2xTfIdhtN4EkYO30qN3LkKeDwLUVs1htnHdvCQINhHSHQzp9B59Ug2Xq1wwICBxz34t
dpMdcgcu+IvZ6uIYiQMWBsNYEXy7I8ITjirjhx2kunjkDE3O0aNrQV4u2TkFpLdkxXBy+ArItPsM
INSNTHVnwFS9km+JBJKJDdVZ48pH1LOg+pt132Kkeo5jTH+bBmFzHE3dAaDTxcAkWqXTYOs6Zkb7
pVjbQC8f7Alk6ZFh3uy21Cuk1TXoQermDewQys2yZhpileIL/SSpk/S70uDy32NfQ3+jmGMCu5hK
5HUwYQqz8s9vPukDJgMSwep7dQYcUY414WKwPXeYPNGyOmRQ8BJjyZgbYzkpoyvMMwt5zWjKnMF0
yuoHo15wbhHT0Hzn2qNgJ7We5hglYfB6jsMKRdlkM2clyxfSp30836+2EKxOxhx52wEBVrKSLpYz
6xFLiuuwT6Jb+v/Gnu6ouAfQS8HYKImgOjD7uD0Rg5/XdKYosEGS5NvD71yXL10O27nKMe4U+X0X
x+DPczl/CwRxlNvAADihR4zuWsjod12tsAWyqcU8hE1BGbz0Fr6uZYgE2bClZMx1nuXpxleSxxwC
Zv5ulUQCx9rgdtwmtJPih0hCONt6eT89VDHaRSjX7fwQuxkVIFtwclJpZZQfC5ehW8P+EtlV6oMU
2KvYMpeb0jHto9LnMphrCuvoi2hZNbBEVudHDYFbfifU5qQH4IfQvtAVfJ+bwsF8ip7nPDSc3sJO
mG/o4pBzUuYVK5RL2cdRifvKcYbgtS2Jnhy9mLzGCjkVZelv4pqn834+UcuQKIxDf/SfPYXoj6cm
h1MsSLNNOxvkL7zs7R/QEQducSUL2B+MMofDNoRK+EDVqws0cbNpjgW9MdpkCEa77TkcR0DBA7L0
dzH7nEQ4O9LrAfzgbpifZoGZQoyrHjRZ/BAk/J3tFOQuXViXa44RW6GS6ImIJ5sL0NRZ+LgE0oFd
ZuIPM+gdFcqluvaMiNVUJoCF1yRdLHToEi61r8Qc1apK/AJ2SR4y867oiAY6GBsPIei2m4pagQJ4
iTJ8NYKGxKOnH+JXN2FScMUkrTgaaT+fus5TwLu7+hU7p7xauXOua8NUVc7HOClM+CwspKgbixc4
DnOOC3Mdj7eAwMvHChvCfZOI+ZmIkpblOWmZ0eY/YwMVbHOqicUmXTib17i2xACP5+JOmAy/0rtw
ONBjb7rW7b87he3Vw7kqaLIaV4Lj5NOYqZyupN0Gu5Gh429EHCwZ2FHGrxjqzjs+GNN+wNkrXoEs
4xsSSy6ppMc5pFx6908GR/ZLZC5IKQMdOQ+le1v2sbrG+qrYg+mMX9u27W9qO6/fvWF2vs1mDsds
FPL572uuXyZLJC12ASHIcsi3ERpYXyZL8K40FBJ+a+/avflBnOhfSYpK5iW2+/vXMr8IjiTgLMRB
0KaQO0khv46xjCkZ9qSSbM+eWzB6wXbAANInmEtwotTHDNmToffoof5ur0M8sK+xEXCRPcSZba0q
vFeKRzOtiwOzS414dqCS7KskTqHtRyzVLWsSsC3T/AtiunrYnd/+/2vxzP9/Ju8IOeiH/GdJ3B2D
GLFWtf2v559tm/RVm/zsftPEXX7Dv6dkBOMv/56SsZHX2IFk+MVEyy3t/xbBef7/RuPGsAwCOcdC
Y0Mv4F86OOQ6AMRYRSZuG+R8dEf+L9Q1v28Bx2VYxvKFHQjbB615Hs75c88Bz6qianEE+VYvbQCL
cIIQv5mgMgFpPSsH/vTd/A96mi+7gKo9oG8fXgwu6JZjMZ32e4/DBL/E9IRjvqC1pRe4mAVOk+t2
GrllSPUjB1lx6hXXidvN2AGHkVtCMw8sWU8faGYZRaxbqgNUbFwmSGmdt/C3JLw2zEXTCaKOJ3EO
uS8LmSaPCQMTeMaapUXc/PcfBEXDb10xPgn3JY/BRKWIKsn7SjnDtA+HstKL3uhZ6qvKAQEynDKs
R0LgNUwObGXvUC0CZizcPRatJCJjZ9NBdzw7Sx65w0GdrBKd6NnpyE3W1x36icJwgR8tENczcHQ2
HwaQCr+nbKDH0O90ubsRMvAziQPVEnsiKy4+A5Po9k6UFqFTaVFTGsG1UryQKs/UFSM7s9hNyuBV
sDvkCmqjnnfYnPl3VdjyJxMr0Uw2YPFwIV5N8MUzrOkIPDZ8AVSaJZXvbzl0m2wXR9RtQd06NHZT
s+M5KmYPB4hCjo5eVc2HTPy5nT7c3mJ6FxwpT6nyG885WFgih6t51nEuHmQe/i4JTK9dnvb8zDQD
A7uLqoWfNKeIP2mhdlEcbslsDoSTrXUflNiCbpKpdI7z2M7ZG83euLuz5rBZPmPcPbIdUwHx9HJ5
CstY882bBfYDV5mti3s5Frl8P8XsYBUArRbD2OX8+xkyYIi75BDFBdjzaCZnTk0onHB3DSscdSZW
k0EYl701YxEMV0JiwbTglInICAsGl6GOXS4UfreXdZCaJf9P8YoP0gF7n5yNWGTZmGsMWq0Zh57E
QO+TOj3Lv8Nyejhd8lYU5iloa5zi+BJlTWYit2bUTIybn7+5wtdZwQiSezghH4kIVo22YOu6M4WO
rVC4oewwjSXQF2jYmh+imYe532HvO5gA2uocdjqGs2ySCsNO99uU+6w0lTODgEeiSb/jdobKqt9i
CL7aWSEOySpkDTm61nWX4/50jfcc+6rojIkFYyvJo5hr7MV53+c9CuYaJhd0J9Zq7Gc8WBRBJNyT
S46Vrj1GxJnvQj9YNGprMb5SRYwPwAkL16CHg+k7OhIZb4vJDoePtGIoeV4ZjIw036VVmcYNHqEs
vQH2a/ZGz4td5quIT+/NpdYgnHdZ5scJnoxg78f+GZxJleACmEcjYFzJm/OGxQ2vi9RmNUYTXKlT
XcB5VphQUlR/690Qc+JaFu3yRxAZYsDIoDfGF6OwC1aQ6/M0GPSfbZY0I9jsvXj2OJ0uAZ5pRCyk
pmVg+CAVgwI/MLiEgLlyGPdg5YUmaxpkOmoZQabOOVe7uoDOyUA1m4o/0RkxVj83P3Ban3gWl/36
r3841ywanHu13wUHRfPDP4vMKBXV77PAiKBcMRDds2TpArD4hREopLrDaLYfY4Z7KEonc0BRiTP6
9LKcj6wwrfQxlaHP3sOUYLd1GfPzp/K8SP7+CP3LAUrIFTieKWyqsoLS1u9XwVDUUx40onpVRTGk
ECqXYb7KuoGVZTKuYv6DlPN3FYO+eag5UhzjvrU5tb++XBPQnXbaqn4VCsvY7VAF5HFGlLQNhmNd
M+wDO2m8z7//jKbWRvy3dkK/qie9QKBf5fVN5ys0kj2bCIsBxZfWweWE9V1g3gl9KDCgIMDOwpWL
/KVi/l6QZM2bzAWmz27KICeAz6JNEbfrDsRh+oveM04qW8NcsJDfIVVj8/7Du9UB7+/vFiqqpeX6
4gyD/fJIwE3ZLCrbf2FWB6NsalWO82Lg7psSneprrF36jLnOeckmDDYFc2QH77wjLLsazWH19+/H
0tHAb+8HHQa0TZJpSsjwKfW3+yfliaqMDg+zqH+dothi42QeDD6AMaoNOKasKOX+U/7M2NqK0SWO
Qdyhqcwwy+OhALvFhoQbKo81mIt0zRk6OiHw96DYe2TGa26VYaY+kvq4GPJaiO+3KHtU+h5RAZEe
OxvLe0XzFmDYleQhsOn//iP+ZRPoEQjQucT5DgBI+SUeCmGxNAbNkpduAPn2IsspwGPFgZjU7d0p
Tuaff/96f1mPLmgF9DweMldmhb6SJrnOCwgMk3hBENCN3oqpIKe4RyvS4p389y9lnt/8b4/Pswjy
iGNRbbuW/KqedrpRZhg/h8/1OMuRpvuIfMX5RYmmsYcrOkFh/tkLxcXQODancUPhqrsbzZ7bn14G
1d4VJTTVqathaCOF3OR8llZ5VZFPAx4Lvjc5RYeTg3ZtRtIxwPAeGeeFSPHErNKU3ft9x823Ss9E
X3cZiuXRXPAaPJXnM18phcyGsxu/EeY9nT719rbRofIYSIgfOEsHbx8Zs83UcmEz9AhbHQ8OEIpC
RzE2VedkA/lC4yTTFsxjh59wQvhzucZtru7wmrp/Zb4w61Wm2xplLEzT3lWAJF+cwUqaYheVHhFN
jCVKtvO7zDXm+7ChcL4jfqapdzN6s2N4V/XMlBT2TExWtNukxT/hqRsgIa14G2X6C70eLdDLn0Bb
s5ltWydWjvXYakqWrAYj5jSeqmhlMn1R7hlJL7pk3xSjgjFL8IaP8eOIi2MS41zUu/LbLGRhtH80
Ho8HPwmZcR+5Ax2zbR5o6S04y/odDB22BBuEg4svqDgypvtBSZ073/bqOv3FHBmXq5kJHq2VG2nx
KWssn/kK9N1KhaLGdwCh3EIewOYb2eYIPwlmL2G7I4aFT8AlZXO/2x4Xk/ByYhWzoh5/6yijGNHp
1gnyCQBrlSIURxoRji/K0bUWk3IHW5gR7lB+o5qYs4U7bN+QHWQGwYKVkbffN83gSOLaYeBxGMgr
Q6TztRYr0rNDazgVpCGfU5SO2dtiA63iQNR67I2bKaPBOecSF+UUPLSuhpPsUON9HIHTPwdkhUx4
+5dXrIdO1ze1QrpJVBqsS2PsvvsVwf8hmRnmPlzi6Pa8JyhgeJBJRwrq8hFdoFFeM+OaY1IAqH7m
y5prHvYnVuUEMo5M9TFpd8x5jwcZdPrY8kMe9J1d2UM57S+/ekhnAXqzzcq6AVQgRi/r9s45XZmn
QIQzmoo6w/PdpM0yqc2S5EVsbf/hfNDzX78f7+TWSO2kz+FOOvWXkohpzW6che1r7ZvN9IRrBaYc
qmDQczUKu2x/9ecsBcOOigA38FOn+QFCWz/pyVX99EFjK2GOGn3WjFNLZEQQBOkfim768AKDQK08
n9xGMGbTS12VLJvBjcy8oF/K8jh2tjm79x7eaPieul5fH51ECxlwYdXr0DsvAe4IroweCCxMzKBJ
ieWZscqKz7TiEW+ZrAEPhRCPh0r+03A95m3j0NPHgAcInYLOYtwIZtxxmStDpaMApENJY+3zImWe
fRNgyYcfxeRJVEKYUpUCIxHFliAiBJWDa8BLiRUGDzEvawZ8d1M+YsR6OwAnA8l85obvwtxhyxlh
r8mdfghg5miiwguvLxEiwCt2TsTMZHjN1xiijmkLn8izClEqYHpC5s/LtTaECnWXSav38wNwVZIk
InSnLV5QcQ0pHpbK7AmcIPMVvnsXkztUOSF6T0Ufak2CMQoKLXOpyr2sM3hPMQJ0/C/7gM0eY17h
EuhlbKxgYXzhY6oZEmMkumoxl53TkXCe+ieJrHZi2Q5KoCjCeSjH1O5ysMkizh2mr+2SpnwKTArg
7tDpd5mONKq2Sxxk6a9LwoZpSIHKOpO9qg5xJKkRCPT14aq0JlU+LA7OP2KluOjZ59wc6a9uDIgo
pjgjKjWT3B6ydWVi3frshpAiX2zTRq5IRZdPJFtGtddLmvHYIakv2XOeLo15DNJIBg98i24BFApf
WGsTOq2TbIskx/XXrV3egJHUnIChvXCcBHgRO4ceq5DszT9L3kGCmNu2hIrZ7xUFPY4/k24sAcsQ
UJ2cbmViDomCf2DOywujHJhJYUEXm99oi1TMAFJM9nAhRfmBossbijjaGL1ZzuVlou4/Mu1BVH/Z
wYGO2+2A+ilzSjg0f6mgznCKUGGm9rMJ8Et611M+YNorZGk4aqBDTcqawPuNZFo/4dbcdtFubhbW
JsTZdHqplE3Fw0o7lw83nYsj3QKWfnP5IbOeJz78IpB+a8aTI59rpwCWFIJikKd0tKaMXrbHkQmb
kyB6hCpHxittbrJ+sXngDC8Exk/SydSmrTUE44tIF35+0l73jwJ95PTCjCYXRWzXmfvtkjWmKfSD
N3m+UKOO/sFV42O/9HL5E5SMPHTQIrqukHvN9NHNQj9D1dmEpWUUjmaDpGP0nNPc94v3HWm7MxKC
guwEQQLlgCsvVqSKV7MzSv4N2yOcx5UVEgTvwxbfqLemdfl/3FR1ZIPsoiLv7rvUIuBoTIil1OCj
SG/2jhoBt9K5+oUjd8WPo1BlGuWc0QE15V6ZB4d6QWiCeXq8nGrsRC6HomEprXAj5nJm3uX/VCEo
bhDtomhrdBUOFUjGyRTa1D82gX4C1TbsfQ7CYUk96CSeWTJR3iyQRVxUdznIejq2oNWeKi4ifsNk
uYnC3Sch0YIeHXe4wdDId3XZBPpyWdZMU1QMF9FraSugG1VpDZ95mXt48iXx3F/VHeO4P7zEXpof
6WKAz8ILtVXMTeHRbbKl08689sYa8o6eki0pmFRTyBVgthVPLnRz3fPKIo4h18Xt/DEsTZ0WXAph
1bnmw7QEC4HSO4/XNBhAeOrrZsaMJ8+j+uVSI6pMnwsiDgABYJSYRaQZDVb1nJ0EDDrWYmyJV2oi
n7+5vGnTUvpgj3gy2S0tLx3lcV9Rn5xMIqrLBQ4UkFNlrCwjcxh3UfoLbzh7IusQj6ByfrWQUpNH
BMYFsgC7HFjcbCRyslp5avpQVeuygmAD6qCg7WRH4FgMZaQrXQwvcpznJcjPXYHxhEJpUw9mspZA
cAJqEMiGj62yQh5sS9hOs3PyOmEUb2PWsVt8muncOwOy9HbrVxOqrW1xSausOdIrc7R6N3V+ENvE
NKYhbuQCfqk9M3xN8UVX6Zip9ub0icFuqt7rxE4FF6EXlcp4WkylS48cr/p2woHJuseRrJ2/iUZO
Ae7nkofencshi4MrFHhI+BzJrtUDfBHqMGabqQUDtaPrS7VblIDxJrPvh/olK7I6MLfcf2m6Eecb
sbYqHkFvLHzhs49P2H1nJ12BNhMh7S0zXPRX/iEXcvQ4+Z9SIV/AqPY9DaPxpXCYY/89k4UMF44t
LKgX28AHbVplVhm7N3z9JD9eFnOSeL3bs4oS3E+zX5KcsAjX1KJas9+EzBuF8MxB/Ig9U7qBeq79
MVnujWY05b4CsrccRdkvQ8/QTUM0DqgurZe1z7PM3sIakA1FcrWcljy1rIe6ZML0TXl54f+0htL7
Q9GVxtwqNGgCn1Ri8oJwbHrV9LtOVK21gQGVhDuvKnvMo9i+6mQJ0UK+mAW7EgQkkVW+DC6B0LlM
LQcVBn/YRealG+XnOoLHQQkG9rqK0FX/yxLoP15E8q9fLz0U05EMKtt8AV/LLEnktZSv8/7FH1yf
eBw7LJ24g8rWQduShwzt/atUPcW9N30AzFTZbSF6crVS4BN7lfgB5Ve7Lyj1MmVIEHJpUXgeQ07b
AkxPeG0wNbtEhzwbOSe4XfUZkEY54aYKfbSf63yyrTnfMJQR5D/bHB12+WyHJVuogVTBFkrTnDpg
44SU1tLa4ncytc9xUxgMomHAnRKzv7oiHLFhLcxYn76XCuGQCeKlIJ9Q6nM7gnBhEFPX2fGPNzcU
GUp5kCThtNKpTtJwqBSLPGpr0d3bZQhm/JKWYFRA/hamiImfLtFLJjwuYVhN9gmOTNeE/xAl/D5D
jakF7SWfZe8HGreAQvz3pT/D/i5mkrVnSNJ5m6y6ObGQBBiIQDU8WXLdK13wP1KcLl3vH3Ye9cQv
W88TlPx0m1f6luu6lm7M/qmIBLAtK0eqag+JkxOPHZihaRGGQ7dQiJz666z3/TopHisOptliXKEr
ixnyvc/8lZjxNe16Ow6fE9C8I3MEXhgbY/QOusCorYfRg9k92NSdIL9az6kehHW/uwUlZf+URBaf
9N1zCMicboVXz0hRabwU2ZHMN9kPj5E441tccBmdkAi1jXkFBp3i8tbOTM77Ysrz+GaKmwUHZQZ3
bObbLKO5xS6c6zvxE72Ozl0N/KGJF+rINsAiqQDcPWw4Rm1ZHOQ/pExBzFq4UyaeCpssGYgK0IdS
dZlwPlXrskPn+UYUSWIzM9JKhKu7k/vKWvQlnYieLkHdLMx4I5dNp2o7tWrqbxOc4zAR58EhE+kW
LtyRcon2lYCjxE12TnZHWH7OMWQIM3vrWtAbL6Az+BMc2YieQNe4rH3qmlhZKGN03SvQGfpiXQjw
3kSKrGqjLSlxwTyHdsBQabXlXaaT/aUQ/I6hMDmCmhha6b+vhTQKueiYJGdLMcwBVvMYII+gsh7N
CyF/1S18YbLmrO03EDfaROy4T3UvJQcLbzwRXhE5DFnaLkc7HiUClYK5zbc0Y6Pt27kzedc5c0At
XqIdndSnQDmcoOg7ECs8qbmsFe7ITcNZksg4TQ9RY2rhdBiEwj2iPUolMn2dpIU4JWUvXOfeFG6d
MRm59lmcJtvfLCtE7TDfhel86/AFMmFwjAPhqRErpGxjjtP8Sfl8hVt3Skgn1mUd8WVEppJYXxYk
709m4bkRX4KIrIdLBSfzapbObJouXq4uLe5yeb0cSJWLoXBLWDnocObMCX2bKuCLmKEjkDqauFsy
UNmPnD6F37GJnRKJcbqmwiL88SNJOp2hjxNPl0o2QNz0V2TrmGoBK0zbKFKsOqOO9K0Qg3Ttki26
WSd4Q5FCnTvDaIl/72E0YDylI766mx7UIX3N88cqqXAMp6KxJQtu6Ym7K29a5h+Bj4TYXjkwXbLb
KGQj7i7/ICt6/ftwjeFwbM/tFtkMHJGRUsg8VeqimnJxX+S3QsXjTQkER8YT+VpJICSthLVwKeAQ
t7N2pUjZMBcXmvnc42rPPVX0YSE+MX06xUdm6nWBEP7ScEJpQ9Rpy87L931Ve+LG6jtWozCiMTyA
THJondoZq2QGwt/dQZVLif6CwiySx8sp7zOQwJsgR1x+tD3DLbR3ayb3f2ROaKHMN1rDPgAI40Nf
VkJD1RmpLXaiAN4UzH2AbjUO1ru5YmlzUfWS7AN7DX2FAerWO8n38Z3gg5mz/kcVV+RK1HiEEKJ3
oW7TB4ajAy0bAiswA0ZVuCPPFU7hA4rH3IU25WOG8YD7za0SoStR513bTqnuBZ+7UNKiJ3xf6il8
/Kd5kqoJ2Bbr4DzImiBrZ3bcK/h6IDlTxbuE0226WM2PS79TSzSnF0v0+i11o0v7li5LxMILs6Et
1rMVAzxGEkcTfASIUy2MX7lk9s+DSFvQ2VI6P3A4LRjorGssrbGYjEbgn4zrN+Z+aGrvSZXOclUM
pvUOkBquO917bE7dpIdFYPs9clglzY+JhaPp3N6RhCLNQIQWYtxMIwY5s6sDYOrv4JQpRGH3WkaR
rquVosFjwPEnEgIIHOmmRvCPMDLBwaUW3/3OG/Xizq0n3ldkH9worcApzzInfytplzG75Nv5luI2
s8Ydg3e0E3VlQbReLVcFV+F4lya1h2UWQv/4eqrjeMsQVruLawbOb+3cpJ1DBfW/2DvTnjiuNY9/
lSjvy6pTe724V5re6KZZzGbAb0qAce37Xp9+fqfadsBJnGQYzVijQfdGSoCmu7Zznv9K60fJjuqM
Rguyo001FNfUxTjlRosU9Z52UpOIRr+67qoc7XE/EF/etDg+6tKSiJ3f9J8EIy+BeQBVBlajrN3r
aqc9q3VcJGtcD4W+1HsefwsqAaJbogRpRGrUOgCg6hRKxmpfaaplQ0/wsKYNSOibThumE6KB9PNy
tOL3hlYr13ZIkAU2edDlhNlMmuJ4GGHXM/qruGrH4I56MaPlMEzWJfXpQX0ShKZymndWZl8YwaQR
NJTrsAiNYlR7auPJhQS+IWdv4lauiDDN+/O01gIqUSCBupXW92Z1RItGfK9aaf6xVno9XvmDPiYf
CwsDyrrh3vPOEO9iJPURbtMpo0zmndAb6nbrJk+1HZil5y9TU02OVYFb9JJuDpXmYVe/iao4urJz
xXNWRE9CXhWxZgf7tifqc5lNzXClmElFHok1YNup3aF8sKiwWZdG0YAPEvs8kjVNq5OhFcw9o+6c
o1CgqQBIr04WpCVSbNuayq7zNbveptgvvSOtbuOPZRzqO5Kf/TVsTmktu9hkXHNCk+DKisn+kk16
QbWKVTCZrSCwC6wvaWHfDAEdCE3SFLgLCXlGIIL74GRQCb9FWC9CA4LQ83ZG1XT5pc4A1K1R1JM2
aGjBmVJnjnPUmDGuuaH3hHvDRWCzdLnpcO4HxmDvULN1I0cLEIjgTk1d5UYd0yVtUy9v11mwT9SI
9vKu6FiyRaucBEQMuMRr1QBslUn+YZOY3Va0oVU8oPnvz10/sBGnjkW8JZPAyj6YE9KQRUfFerwW
5M97x0pbAtToRGyY3LVsrN3ImAieGDqVuFOU+AARVRbh98uL/nPip+WwQdrULzMudmIYfdHcFyp9
yAxJyZ03uo8ENxpkW/ldsImqyPVXZluqj7EfYOLxOguXvxckNaapwU0vECUGdzQaBKcE8WY1IR5E
3dAiaV2W9K8nCwc3Q4zoMs0+kTRSijVhs/m2dLP6Pk/xBYfNaJ2yFzMhp6Y4CNegEPqw7OwyAcmN
Jn9fJ3qQLxnUFYEIHmz3mqXIO1KVBFE8MYKZv1G9bljQ+SbWqeZUpxMqlAuA64Yk+lCoJ5ajkIPr
Ye/ccMBpjPZ784RRZdxUVJpE+8kZwzuMJFbCaYnSZ1WhwGDNNjwWT6IQw4K0iGApuhEJKEUmYbvJ
Ram9j3E84Hg29GEV0RR1lhJ+sBqI3yWigkGsWNAFlSPsiUYyEDGcXgRBE+JFZM7BQlsHPvUzJI7w
0mMdauHam0J37Q3gG/SE4fJcWIicSfrMjGrZd022JQHUSCm2TiHiTLM+IutxBA5Sko/s+S+dnsqR
HaJb7ISGWSsfYs0obvrIEsdqboTq+7jR5VaMrVR2FNopsBExqLdtnnblcetwqS1zCLBx6RRkmS0n
j0T8FRH/6m1a0Dk4oZ5N1w7+uUtfxTC6RQlVXrmhYqJmUxPMF151oga+9xwqgT8xqPYVzzq46U1d
iVyCkoKqiGTgInKJkPPMpvZXpe9aVzXV4xdtmA35Uq/00d14ZELds/UjwUPVa+9kEmMqjslrsM8k
98MVqMQ45nJF/VzERLryhBbBeRWwDd1mtp08pVg0PyttX9cnJsUnJ+gWhh0YYvRhtHpunS61naOQ
vCCZAF1zlkn8DJc9wbr7wUavdq1VZSUWBXhVsGCfSheeRxsoGGdVddUmo/tEOzVd9sF3rV6bbPRg
iK2rCWnGVYkPmUqDwh3vRB3mjw7pnmyXkyRr35cBq0Klm2m5zfyBLGYKkwubcJMcj0rboMFZVQaE
NPMV0xupK4575pTc4LcWGwJIliodVrnf9Vt6G9QYt6Th0UA5kvSwMEl6/ZBaNoh+R+iwUyxACwn3
UPqS56lLTP8q1wJao8iSKtf64ITF2iYIz3xua6rYPdnlB/UQOZKwduL2DJNDlq3QUmkn7EtpY6tt
Am3ZSXB/AswEnzsLr8ZCgGCJrUxPejK0HlcC1y7xSrVDSxFieBo16ULIhrWWGTIxh50FtsmmDLaA
7WXIzDbCqtt612hL+CJ3zaPBG87rpnTM42HKg6NOc+vr1jS7DuUUhPqZabEG53YcUwrlmCubLSt/
T0OHvEwb3dqReF6PK6QwXX7Sm4PjL6vQjZqtC4XvLchZaPYjlpnqWC+Q6p3GdTBF1+R1OCed1/b+
Vgcip3ENC2RaLAOgyX5vDArCDNeL0rMpKsrmEuaoca+bNAnYZVT6JfErDuEIVMROzr7G4qgvKt0p
tFu7c4j+dPGwTWvs4k517Iy6vqkdDaBL0RT7PEqLptx2NgzFUiN4KyT6MNfIM4idK2JY+vclW6Hh
qEYFmWO50UpUHH18BVgphuOAOHkCllu9gwsF8EaYp64YWmG9P8Wj6yPlJtCVpndj0k6NyFAaZreZ
A/1/WfVfJY0CBf1QVn31UMcPzVPw3D9kr9TUh1/8pqYmYpR4PiBVexa2aL+JqyUO9CVS9FBBIOgZ
QODsmOiJvqmpDVlB4HB96LaqWzyH/1EFwXdqHmZs2qbQUtOwrbJQf09oh4JmQFcM1nucqVw7fkhV
50J3E5CB0OGy/gsC3f6OQKdMFz+fpaHmwV9BaoyERV9AW23Exer7rn/mxX6Ldd9rKj261vsRn/dU
keXXLGuOERMlXGO5bCjjuxcEciMFqdXReI8PqKMeL6GI8zH0fOqgheIFPnupuLiyjcn12Z7zu8fx
JMxa7FrPK2+CtMzrlDgDEjrSXqdijuHNse492ylTNh7hpF0OeMCGYhlSMPO5NrNCCMKwG/Mz/iq1
5TkSjTnyA8CMJlsGqpd8KKlJ0kA5LEaoFShCOLlEWHX2k6KpXUFnKbGhGLhKPSM21EkM2qOKjlVt
41ZOM+zaVAtCAkhjq1PKo9qoKMOKVk0xogI4m4rJSCNtB1JqgJIKYeZWB13TI0y9GCoTjYDO5ktY
VDBUBEphGC2z3FzmdGHSj4BdaA177dsrayhr/0QDhkfHrJDFvEYATogZfjrH4YHdNzcgLB7lMING
KmFTDygDygSObxE18DYLwjY1KqGI8xJnQU42XMOigf8K5c24suHudm1PPMDWzWJfEK6aYc9k8OM3
Y3/gVURNsvtNRPrQTocYLlYtb58pg8Zm/oX/XhIpqHphtIKJB84CRnDHpykl9Nns1HLCphNF1trk
xZRlFHi5vwFti0J01ypmvzhrbWTanPEl/ENX8DkwZ23V0LXhqgze4zBwkxFI7RE9FMlnMcsd5lNT
LfgncgIqHU22fcWx5kXNzaSRXLuMAMOdhZ3prkZCQlNke1OMwxnZN0SkGEDv1E/kIXFEvDYeMsy6
KGvjDt9Xz7m9Qfw87UnFqUn9VAWJsqKop2Q7VfixnwEbLGlac8iKcIRT3NAY2ZJp4tND9BRrUfYh
Lb063Cs+G+yTTDqK0sLKLxB9R5jg3YL2KE42b972sXNPBHl770UxcPZIvGhuBg859RHIaF5upoa0
Xg6ptNf7RdrcNFnJVcLZMSfcWBEATUBChr0LTJlqVlZYvY/youbDx2bpereERQiOD0O5+OQ2Q0Ig
vKKYFtHeMs5jSgYuMVormpuYFkZ7p4E3P0VuqqTbuihS45YcUnLGWUKT6ImbOxk/mYrd6GBMC8Tv
jWGv1ZqMoGGNGzmoCRyv4qJr7b1AaedDlTrFwDub/n8Je84aZqe/WMJ0m3DBFw/s1UPz8KUb5+wh
ff7Xr/dtnGffXEHjy1Xsy+9+XcU0g4ocXXdsPHjCnuNev1qEZE7v11VM5vSyzgGSCpJ3EVx8W8Xg
u/6BB0jwmi/JSYv8bY1FkAIdXUie8jty0tECY4TP0O+bSMgn1izDVCsXmMBwczdPF6JXM+/ErUrv
I257/PlGCLV0ZJZDF6C6c3Tl9MWhen9gRn/JWhJ+wqyp//UrCt/Xb8pmXeezajZScwdOT0ha6cXa
5tUF3Hes97cR4SZ5rEfrcN6vFWos8s0QGdmNJfdyPOnL42be4BF2UwToKwLxGNSDd4tT3toKUn2v
ujxo6lU87xbpmxCbXkQAs6WtfiiQOpFXIneX7egG1mIavA4eUW492XOE5IloWqui6vNrY8km3T0N
8yK0YRawJC/tUjeG53AY3FXk1RSlpsV0zfFQts28zaXZNiiWVWlSlezZVLLRo5uQcVq6sbN0YS37
fdGjDltIyvYCQ6vln9NKnnh3kOadv9WM0DmJSFohXidyWvfcmDfeYdD31XEo9+PevDXH8cw2fZi3
7FCcTX7iG3Y1rlK/s3YlbTMLuyfFeSFB6mDJE5mEI1D5NRGROW6joa3OGIyZE+xsqK8TGteOnAK6
9dibZ4pOjhfqVIWX3Dv0X9ii67R1YWORXk5uSMbWYTiZB5VsgokjutXOri3AbSQDnaudNnKqSRSi
RJfmPOwMuEyeoEy8ekHMcXFGKIKF8u8wGQnVkKxDeVp1Oj3r06iMoCmA+8xShXaizAMWarP2bLLJ
A10lMK74hOYZTMePUS+rvu7POjmfmbZBmFTtlAmNv2iR6DMyAtJL0MaUjCdymkPkVNJZIGc8T457
E+XfxF8osbuPNTci7NDQ7XhJP7ITfILsYlK05NBIdQTz4zDPksk8VxZyxIQ/6qsVwK+xrqrIzG5G
e6DhQs6kw2E8nUfVbh5bMYMzwmrzOJvPo22vOBYFGYS6nLtxDJ+HAqe7Yblp6RmaZ2JIk/wxkoMy
8bXMzMGg3AKaGyfOPE1zzJisi6pvx6XLVZ3uFc1IiNVQYV8BteQkrsxT+ShYTmT8rfJUziO7Po/v
2PjKWx3S+6NTqLSvu0TfZUsb+86pNg/8nBTxFGrkKC96iQg0odrGa43iqlWBC3aLc3rYWTOA4KJP
Xrhmp99kKTDJQmvb9HMusQYiS1oCbGjLaNkmUChETAyQRC/RCaI7smPL4fIgvThAcIQCiwok3/Z2
Xjn2KyHRDaTV9qol/+dSkbiHMUMgyLCBQxASFXvTM4ZHZYZLkBkBnYQIJ/Yim9BSSWTFtpphbVo0
WdE4GjvvUQFX+2gGYWLkU9zXIDOlxGg8ida4ErdxEMasJ3JpLXpo4uKSbTnoTiaBntwH8qFncV+i
OgL8JmOQ6Io2bE7LzFSDpSuYIHvUNMvMqeyUgCXO1qoOG8iFWiJKRN9knEuaL44oFAByCobeXKUZ
iqV1UInUIHTNzDZDRXmmhKiAsgCrcHjxdFBiAr0aW3fY/WnGJbE/yUcEaeOGXLi7io4oEiUt9Qaw
NLkJG8M5GiQwZkmIzJ7RsnxGzvypJEWI1CCxDkq3WfcGDOaisDoyETnSmrecCl198gtkbKdTRjLF
UotFDTutACoAuWvUARgWSVQzZNfP8J3bdsrK0Ht13/uZcokZzCxWICXVivLFQb5fHH1TOEIATK26
jFLbOBlr1WqwwBn+PTkcFvVt1N4stZGK7Y3lYhNdYwgDisNNld9DuKbdohrCbttyF8vdNWxb1/kR
6KRSEOnRQab5bm1sepyAGzsNx7vUM0tyFhPjmf5JNDnUn+8NEgylGL40nouoI3goVNqjZIyohUxo
eFth2OueCqMsj11iyT7kYD9kC/ZxIpYeQodmR4QoKbBAyla0hhgB8CmbvmeVhJG/QNumPaG0d/bF
qF1ERhTeoamiUcewc1R+M8pbu1r6qRJdA+Q3xTdj6oNBoXuxLlUJEDtVWh8TQQWCSwBucIrBOLhz
2Ene8tDuo/0wI8wmUX3cOBJ4FqUJBD2j0cOMTPetoi9az3qEOabYDPXGmbAmAT0StvcQpEDbLbWX
RL5IwJsDFSCiJdccXcuMidtJzU61sdkEr0aT6AvkcBOQM+mHTEFu4N6UpdQUgwaqJV1BFrvWXMms
c09TmqdKtytTuinq9/xREHn0Kkb2wZBAvdmMYPaJhO+pWCNttCcWklxlRaf8vJUAPz1l7pJKNG3V
0P9jE78Xuu5Rgg3ipJfcAJcFNIEjGQPkUu606PQpeNLcpicDmwJyklQk0YAdOhRksgEtL4Hih3Mx
ExLjTE5UTp4QtRhYBVgkFkbmqygWSEDb8kqVfIYeP7huTJyERdYB+VKlfhywuyJLyne7akFgU+mv
BL1YBkkCMk4qa5NVk3TTBVWg3omV95zx3mnHCdOH5a1GSa7YZAjfCDuKoOWwezCzaxnkc03K15D6
/lIxjfYZzqhtT02YBBLUJV1Tw/otJrOGVMT1A6OTSHInNE1tx+UYf6wKX8WRQPnXRxsfqrpABZ2G
9CAF5RrINNlHrglZhO+LSOS+3YUzjzRJSqnzKyZGYtTk+ixJpzCeyxCFcyJ4bJ4Tt5w724IUnlMo
1uFKc3GCLFtVGc66IK6qoy5uJxQGdbzVHU8hI6Tuo6sB/svW0myjqoN2pup1s+UiLWn3630CCw3c
vXhvqdFbpNz5rJ52u7JUSl5XaWJXj9rMsLGeW3cIduHdhpmDSzDqYuztSGjZKogkPqQFRwYdFyPx
OiFqWmMFK2gLZ3dj7ya3sO9xYhN3Jum9vnHie72XnF8oQ8B5o5ILpHnC5zYlGmNmCXHN5e7KEBns
YeB0xAHj0SHAs2dGryrXTpbpYEIq1Slbo0UoGUjsOoC3KGQaGJpKsS67maj0IjMvVirehXQnQ4q8
Bcoz2yLZjPRScM1J3etxCueZU3h6HY5d/N4ZO5qhwnw66WaelEJDdVg3M38atwNgijkq3ZPqp8Gp
NvOsPMHiWxtP9EhYS1PqSzVISljZzJq2ZYtQz5J8rWdRhrZMpqbeNUOkIkBje6iuB4/cr5WMIWI1
L7ritOYJv29DV4phfXe4iMsiOItgoS4mp9bZTbd47tC83iexZJATqPNrKClrXwxWXa4EFDebriiq
1nGWQDaHJP2uCErPogVRNi49iugoxGYiaP/KmqphQxlCE+8o30L3P/m7qdBI7uuRTpGF0tnx1jH6
UhZ6mjDfk1VXt5Yi1COKmqHG7aHv4Ul5wpk8fbRkgwGcgh2jjTJjg5ZUUCgvWXVXTUN963VU0V2F
KSKgMs+6TXQg4qlmRKfyIZg5+mjm66nI4jbTqzq4MUdqGqn/K3IeczPJP3ahSBFHB9NREMeiX021
ppNAGDURtTqzSEA0zh1ZvdpH7i4kBLZUE9B3wdqPuMcvNsMQhh8x/+dHqR+ox70UInjOII4Q56BO
GKLG2hRSsqBI8UIpZQz9rGiwirwlSN6n2OOkJ1umASmZxQ/TQQoRHYQRXTAx3jgQ/+qpCGqVuDPo
QZSwaRuSWzYnk1b0SQybMm2SYYM2HtGF1hgoSVS6g+Nn3ZA6HMfO+N2D5t1ySEHa+bgSpJsWsgel
TRLIvIK4yJgTxagmZ32rRlf1OIbDZjSqoNukQTdqkCkyBa2rhux9VQh0mhnK0ychmsA5wiLomI+Q
9iiSyeKvEQBo5GNfGymg1VaEJeF5BcgcmcxIMvPdwR1SWJ4MkxJxcQ8kpl40eR86hGUVCEmKear1
bGoRr23fws5VZEZi31RW1BJgUKVUPi7wAbo1iX9emKZT1V5pOEHkfNJZLNzGqiaJNzpONSu1zhr2
MAmGbw09Fdl8IxreaMtIG92bdTW1bGgtnNsH++b/Gb7gyweRWMh6BlEu2udqvHyGYGnqrxCF/O48
91/n/7Uf+vELfQFh/gK+0RAvfg/fzG9qfsc/eg0q6cKm/QTCY+rgNjI8iJazw9evvyR55n/5tmKr
pLhgbBMQA1+/T5LMi4P0Z4fhx5/wcDx//DOvPsFT3mZEnVw++2H+ik7RwZBeZdv8ySH47gV+OwSW
9g72mTwaFsH5Cwbm5SFwrXdY33E3ozv6+v3/lUPw8Anv5Sqsmyp8al5icSCy3zNRf3IQvnuJ3w6C
ab4Tsp3dRmo8f3FhvTwIKNPfSWSPrRQGqp/r42sGIM7fuwj+/POr73CVW8AoBAfIL3iol5/fobpP
o2rK1H+7SH6uowAicTgzB8vBtyfUP3kYcI7R17/+5FRnvENCy1L8he78n7/3vztrB2xbtrdTMfHl
cnzDh9be0QsCcyOdgS9POZSrRt6F9Lx8uyV+rlOOn/fNH98gwEvW0sEEHD4lj9NXR4EFQjP4H97I
rw+Gn+woqEIS5bypN1wExjsefqZpf3/1uzb5Zti6WSAOz4XDg+anugdYnt/48Q1TsjeEnX9Z4b5/
+lk6SyCIsOtCYfxkZ581663PPe4BND06tawyTZGv7x7+lvVO2I5uQf4e7oGf7yL4AzHKP94CGDwJ
LPxNNN7OX1xVL58EqKXfYUxzjHmJ+LtXwd+4U77tqpdBmHya99MEEP7RtvvPfuDrrf/773/ZQ8rF
go3iq5+Tu+vDnz4sKPLf//1qqZm3uS+++XXbO/+ZL7/+5fP9/i+/+ltfP9TX/7gNn6uH6okG23nE
+PIuD6TrfySPz1Xz8PsN3m/v5F+/vnqfL+7+H73wgmzHsA5+QcjZpo+v+1QPu4e3/oXTh4z4yMdX
7x0LuXw8v/Wlz577XxYIcus+fIq/vtxhDzA/AP4bXv8zI8Yn2Qf9i/z/ycNj9fApr17/rXm/8ea/
9XcDN/+cxP+22v3ohP9Fd+4bX/08ax6qMH91fA478bcen7/b0f3GD8AT5vH56dX7P0zUb33/f6X8
e+P7/huqjDf+hbM2e+ja5uWhMcg7Zcj88aH5o4fhN7Dg94/IryDAH/3a68e//Imn5Pmh+vd/AgAA
//8=</cx:binary>
              </cx:geoCache>
            </cx:geography>
          </cx:layoutPr>
        </cx:series>
      </cx:plotAreaRegion>
    </cx:plotArea>
    <cx:legend pos="r" align="min" overlay="0"/>
  </cx:chart>
  <cx:spPr>
    <a:noFill/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  <cx:nf>_xlchart.v5.6</cx:nf>
      </cx:numDim>
    </cx:data>
  </cx:chartData>
  <cx:chart>
    <cx:title pos="t" align="ctr" overlay="0">
      <cx:tx>
        <cx:txData>
          <cx:v>Top States - United States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000" b="1" i="0" u="none" strike="noStrike" baseline="0">
              <a:solidFill>
                <a:srgbClr val="2E75B6"/>
              </a:solidFill>
              <a:latin typeface="Calibri" panose="020F0502020204030204"/>
            </a:rPr>
            <a:t>Top States - United States</a:t>
          </a:r>
        </a:p>
      </cx:txPr>
    </cx:title>
    <cx:plotArea>
      <cx:plotAreaRegion>
        <cx:series layoutId="regionMap" uniqueId="{2E6346FA-DAC3-4E46-8767-3B95D6FCC0E8}">
          <cx:dataId val="0"/>
          <cx:layoutPr>
            <cx:geography cultureLanguage="en-US" cultureRegion="GB" attribution="Powered by Bing">
              <cx:geoCache provider="{E9337A44-BEBE-4D9F-B70C-5C5E7DAFC167}">
                <cx:binary>7HtZb9zI0uVfMfw8VOe+XNy+wCRZVSrtkhfZfiHUsswtSSYzuf/6CdlutySr7b7fNAZoYAQvkrhk
ZqwnTkT9+3b+1629u/Ev5to24V+3868v8753//rll3Cb39U34aAubn0b2k/9wW1b/9J++lTc3v3y
0d9MRZP9QhBmv9zmN76/m1/+59/wtuyuPWlvb/qibS6HO79c3YXB9uEH15699OLmY100SRF6X9z2
+NeX8Y0tPrW+KW5evrhr+qJfXi/u7teXj+57+eKXp2/7buUXFjbXDx/hWSoPCGdCaKzR5y/88oVt
m+zr5QhjfSCwJBIzrD9//b722U0Nz/+1PX3e0c3Hj/4uBDjW5/8fP/voDHDpf798cdsOTX8vvQwE
+evLN03R33188aq/6e/CyxdFaOMvN8Tt/UHevPp88l8ey/8//37yC5DFk988UNFTwf3s0ncaelv4
rPi79cMxUZoK+UX86rF+pDoQWiGu0dfr9LF+/sqOntfOH08+0c3bf6Zuzu6mF+9bX/0un/9732Hk
QFNNGKXki++A7B/6juQHAq5wgdkX3Ynf1/7iO39lR8/r5o8nn+jm7P0/0m9e38034NN/W1DDB0xQ
xRTGzwY1rQ8oKE1LSb451Ze1vyjmp9t5XitfH3uiktfv/pEq2drWFx//xkxD1AHXnGPxNY9o/dhb
FDlgSlJGFP3mTQ+V8hc29Lxavj34RDHbk3+kYi7umiYsdrz5W/MMQwdKAwxQX2SP0BMcIOWBokqB
y6BnXeav7up5FT1++omeLv6Z+ea0uM2L7Kb5+8IaYwdKMqml+upCT7CA4geSIg1A4Ov1J/nmr+zo
ef388eQT3Zzu/5E+dH0TcsDufft3akceMIwpl+orEpOP4xsm6IBzwRRiX7ISeNjD+PbX9vS8fh4+
+0RD1/9M79lbWzRt8TeCAohwmDCsqPiKxp7mH32AmRKUK/4lwsH1h/r5Kzt6Xjt/PPlEN/t/ZgY6
z4v2d9n8DSgagd8ALtAPMstDFA24AK5QQAbyWVzws908r5MvTz3Rx/nhPyKa/bgw/mKzX/Ty6M7/
lhnQBxxBOGP0D7k/1AuAaHTvTVR/9Sf2u018AdFP6vU/39bzCnry+KOT/D8iA/6cKPjGqCQ3/c3m
MxXzgCv48dXPxwWK6MmjX2PNs/70RXb7j7++JFgqiEvfKJ77lzyKUqdt0980N7+r4sEzdzeh//Vl
hBE7QIQKpQnoFWsORet09+USFgeIAQ9EBcJIMkJevmha3+e/vmSgbITgEhGKA1+kAHqEdvh8iR1A
SOVaQhUM+U0w/I0Fu2jtkrXNN3l8/flFM9QXbdH0AV5MIQ26L/fdb5ZDuYwEpvAHIjGBGg7Myt3e
XEG6htvx/3JrW5E0XfJz6ZzGsY3qqDRTTnjMO1Eth7KtaLMdqiwvC1NQd5oRG8W2yPKPIVVra2RW
ExcrlHfzPl+7ujFtkOJ29URv6qZQzLDaLSdtV3l7XaysO2nDij6WNJu1wUM1DwZxLJekjsaR7opI
tG9k30uyD50ex6OZFn469U40m7yv5sYsxC6mWkR16rBmMR7S3vAlOkHD4grjncpiXDYrSbrFfxgH
4jeE5HbPxhkt8VIqfCc4GrhZaMa2WqU52aRTw/OYibw4tWM77Qc7yMPID34/tnXpjC+a+XLsoh0p
B5K0RF9PzUx3eWT7Oq6z9n5Xy1pezzy4mA7UJcMyn+QaF/6wXLHHOJkqnPbJ0NpyDkZSz3uDG5IZ
0lof4jVKqxUb0DxIGa0DvihIwY9YuYaL4KZSHE9Y8luQyHJcBV2m/vUq3LrvPQsRO5Y+m6tN6bFx
bBKz23nlcrshM5lO25LZgtlDaReo35utWFU94nhied7Tw7KY87ab41C5cZDH6zA3Xq8xDhiTeTPl
1VDmo9GZn8m4x3WF9XhsJ10WojczhgKn2mcqktIlDojP9yMl+CqEZb6wnY7mj7qRrvykSxw+LSki
Ez0jTeA1fiXrFG9FX8g2GCdT+c5NdmCmq/V4MmVVdSSawYGgfJXm8WKHcl8w3dCNt9Ulxq3foKL2
Js2r6fy+ejOoKEowy7lqk8VVWRwRjI9UWbWbLEPrdi2Kale1+Tku3HzVi4EVSRpZkhTa501suz47
UqqXLGYUpB2TUqWHqEFjv7F04ft6Rn676jXctMTZW9J3mG51FQQ3vltz06tUWZP1paemCRofBdpP
htHMHpV1UeJD1gwf8pKNfby2jF9EIEFuWuayD5ln6DgrWb2tZx7tRsqaRMJyp1ZQt8Mrni+btse7
fKpUec5wKk3dqWkwFUHVMcFZN5mJhDFRlWj244T4WdGnJTFzb9mJUOV61KQrMmuJlqQa8hvYY7lV
qMbbwWZnIg9DlQxMnCApw7t8rtIPuc/1tq3XcedKyjZVVzVHA5buTRnWM95Ifnlv2ecpDiiRiDYb
0eHTtZSLyQvXx4o6vlWFIx4k4NCnFi/ovOVV9i5zxXrsOzadtGNlD4MVziyFyHZlOVa7tAipSTsX
PpKpCjsnvH6VsYgbIJ/Iiark25Wg84aWXSyjVJxU68hPXNFFh2UZpmvetVNuymqeTuaCkvc1X+bZ
DMvaZmayiF4JwoYNbgL9FEmV13EP0thWa9nvh97eCsV07Is0qCQalk6bahTslaPTnMdEju0tU0v2
mpcsQ6atPP+tr9ti1+gQ4B0u2ltlSUypi0w3jHY/IdEeVXNXx6osy006lvOWNpk6nLlIzeSaUZlB
zOW25xkGQx/64hjrfHjd576KLcjndZi7SzDr9kqR5URPeRTzKtWHkcydMop28kj5qNBGM6s+zqLJ
L7RVxeGYts1HWSCdWLSQyrgaIbFZWobMgvA+FeVVX3u1X+g4JxVY9yscta42eFrIoR5oGk/9+kah
EifLzDNppOyKs9KOENkHRD+0NptMnQ9RMk+YlcmMBH/P1aQTit161c66iJn003WVh8ZwWranxLoq
mFHOt9HcjJuR0P5TVk1RXPFu3bQ2D7uZEfqONGt9vuJCn4+zWi+WhrdbbLP+gnjvjtNoQq8k9msV
h85X3bZtQ7YJbYdulBt8wuahvSpZ1PbxMuU0zsshMgz32ad5zdBhMzbyPSX9GiUrmNZmhZAT5/0y
CqOyfEqaFiK/mnxkpBrFKenWLAaPpFuWYfIm67Q7VhPPj1rt3UWH8zHpOzSCZHW+3BWL71/xMevK
uCNpngS02M7kONRxOnfCYDyS/eqXZYgZ6e7quqAbPLfaUE7a07l0ZRzRzp+sTTtdWhlthqXSp91I
eGHkUuTpnoqoOs0R7hJMuvKDDSN5XQbrTqVTyys04TCbSOT6ium5PxxVP+/bOS2YaVM2xWNeoHM/
uuq61m13nanGXzSDTd+6Ki2Oh7mbTT6p9Q32bNnkqC13ix+XTbr0nUGiCXnC4LRtPPcE9fvGrqMz
mRzeMIbQYgoWmiQqeBMLztpNh3J00QWZ0Y1UaXvUTBHr47qalmNeLnUVFx6TjWoZBTn20zs2S274
mIvdMtdjHpdduh7hAotbAu+P4jZtiousz6dYlEhfLysPh4itkOhVgwZrQhaKrSgqcSIL516ncvSZ
ibgXlclSVbBETfPJ0LV+Gxwbmvhha+sRqLpt3eIB2nztLn778T+v2xr+fO51/fHL++bkHz8BqfOl
q/nDu3Z37T2eD09vugfH3971R1ftHpB+a7E9gbhf+qB/gn9/ePGvgWMo3xHg0j8Hx38U4n8g6q8P
fUXHCkgcLQlVmGss9Wec+xUdawz1EBfAgmrAzkDzAHD9HR0TuCQ0UgwLeU/wAPXzFR1TcaCFlEoJ
LaCNhwT5b9CxYOgxOoaWBpFUc8DiTHIKXOBjdFyIgpUWh/xo7rAsIGy3YKjlIo5dJ6NglhmzhA2l
fuWqrrOmT3mRxmhUfE6y0Lfdocd1msaqteJoXSVLN4Av18n0CM2XA2U122HIm9FlpUt/3TVM8Hh0
NCvjJb1PjiMk9hM71aozNuUDMUONVmbSdhAnuhSyNWHy637Fa89MU7YQ1SyAy82IS0hbdGrToxBS
Nxqmou43XS7yVtn7yKV0tslWyN0md9BMjxfFCU9wNjFyokkPAUzX4nRiCNDGOFwFS6KtDJhmBtAW
ogl04YpXriyXyzlH/ZnPSH1VlxDdN3JuI3BhNWfcNBxlyojSXVnuxh28vtvgtV0Os0noI+I85Lxc
7eaCQNTN26Ld8oYD+gp5BcKcSIWTmafdlkE5cG11RaAC8fYVQFOx0Tn7kI2LO+ftopNmpfRiIOU9
Yl9YkmNykYs1JLwRchMBxjCzi+wFlZE9o810xdEUYm6tt8bNMr8VKXE7Jlsae9lUx7iubVKIubsa
PZUgduCeT8MQ2NmUNxT2NqzDCZo2HWnbs9T5+lM5Cr0dK7ZsAy9UnHkZrojQtzxN2wSnOI1FlHdG
BPgn5+u1ZhE2XtZN7Cw/Gqe2jmWhm1elD/SKzno+pk5OF0VA3aWr8t9KQvMb3oopWbP52CK+JHzw
pREkZcYLF12O7Vy/sr6q46ay4YzQKo97kEic6urS27I/i+ZqiAugAd9U85oaFsh8thShTtzMyQZz
2Gk0T1mCxjR7vSoZ1caqjgxx2bQaXluWgLudw8c079DRgoaPFu4/zwZmL+XY2BwAQ6qvZMHdpSJs
NKtPy9S4bF3PWET7uHRjtKvQ3O7WaGiuEAGLlmLoT0jF2PFiiXGesi3kynDaznR9P3rJi03U9znU
QjlOHKsgrVI6sqSrqmk3lGm2jbrhGHiTcIRycTqOoZNmFY01XatKQF9zdEgbO1YmgA0CWllqM6RR
H4u1fxtFdpuH9UoVC9qm8piNejaha94t01Be5NSfR719ixevE23ZFe6Q3TTK3QYn5b4u27cLzRtj
SfhQS2+3VUH6Ja4LcswZgIvmXlPLxyhLnWlx78w6oGs26DkeF50eummMTiel9SYdXJaUiL2HYBjO
iavnbRR8G9sq4/ulC+wtE9EUz6UMSZ16ZCJKwK2iI5nm3KQFeT/KtNsMsvY7KzuyL8PR2hcnfd3n
putXszTFWZOGwjChTeRZndRzWW+myRXbairnmFVluFIptZdO8Ww/liDmZa3oXmsxX9azXXdNX5HE
Oed3azWLU+bHo8XTae8XllYJ4I/pcmL92wEv0WHULfxsYjhvwMHawAC4NWXErE467El5saQTrU+m
lp8BEv2t7Vq+EWLVr0u6uC0jTWVyVaQXC1XFOc/DTcMc2/Ou7sxa4BvhRiifc4/6D8HDkVGdu8Q7
S44z29RbRDiYNMpsPNbMbuyS24sFwq7JZ4h30Iht21g2y4d10IUZU4jP4wA2WCzz8kEvc5GZukDd
q87PrxokOgNgqT5v65xpM2o7uIuMp3hP3QSw1REmnbF8RCasZbt3FcBvA2SMTVrX6Ku+lJ9ci6Y4
IzPeTrmyg+EKFx1gtV4ZYDXqNo1ZUQ9zFrcDLwfjChFt8ZqvW0X6ersAsQIu3gBanYe3uV0CZofL
2PRHdYPyAXJL1N1WUdlC9cXKAW3mfCLivPKqHUzZzuqwGqAIPJmZF5czdAFeUZ+Ci1QTmN7e9yN/
F6CaO8rXegmmXylUNmD9BRArXZbHOEolM5Nw8qqzkSJJipE/aglSR92SRttel012mHb9filodp7b
wb5SUUml8WMkd3kFqD3W65S/d4oFgP6sPsQAsW6UUkibWvmyjLOlZycZ9RjALnNSmHUa0v3oFPgH
HcfR0HmNLh2E9k9NxdBkoK89nfZjCBfLTDqoQsUye7PixmWm5AOdDZvX4RqltLvpPCreQ07OGjPV
w2mgUGOkI9ef0JwPa5LblF5FYzVeR5Vdz2ok9xILCxCdio+80QDAi5x2gxn4aDeZZsWet+O+hmgb
B8APS7JYr2qjU5CiKctcvR3GhZ9YEezHqERlelQPhAQjXDFdph0TbyGP6I2DomQ7LAsBfAv8SRrj
CufZ3hfzfFsVhWYQjLL0ra6a8WKWHQKrXPLooihFcIbQ2r8vl7Q6o9ZlGVhxz2RMdL3u9dBVHwGs
V1dual7ZYCcSF2uT7itc1QmucnBW1/bd+drRLo3DFNRiSCjSerMQjU6dzaf3fFqmu1Tl3QfF2Lht
olJ7E2U602bulujI43K8aDjEG0ODj24ZWsL54pssNTRS4XCQi/OHMprcB53NjYqXNR32Dvd0Ssqi
7BajZV1edwDOmVEt7aFuSwHJRzPtzkTv7B58rih3A0EOSDs2dwZ2rjdUevQ+1X3KNk2BqjnBY8R3
g2XFVaod2nV0kXEzDE1pOsWgiKF5qQzHYx3TisiTZeq7I5z3IhGOoWQZh5BYAgYnrVvjWXkGxQvv
oM4g/YbnjWYGB3eJh9AngXN9YqNxqI1M2z6ZZen2QTLfGJh09O8rX/bSFNkQcDzMoX1XLcQ1m57p
pTOu7NY7AQDqNEWTSygRv7Es129k3tQ3bRbaLc3taBMI8WltlrFqo3jSFUREPi9oX0gkT/XK5IeR
e3vocrdkMcn4CsQjXehvcvL5cZ9i+lb3eV4YVdMZ2DQ/BtO0pD3M1AzfVutQqcOS5suVqtJujGeS
45tRjyR2DXcfMpb2l1z3uonLmaD3wwoAcpOhaQBbQmEwqpH4o+6g/tyktciiI9WW6btC982bZe1F
AIYjn4+HMCy7sYyiPFl96OJa0mpfZtUFEJvFu66RZ9kyJm1ej/Goos2khjxull5fsl6js0GyLMl0
LYuEa0fOhQVsqHAmd50AYGG4H9lvWq5EGNa67G3DFiCeynpikcERxQuQlwXaaZtlZ6En62Yia7on
wF/sVsb7ZHXUbgeEhhMc5Rsx+PouL8ng42IQ8k6Uhc/NGJo8qUTv32Rcpr8J1qbbsUW0MqDNNcTO
s+E0JzOQnwCzgklTjpyBacWSmaxi5UeHNNAl/v4fF+UWQgsFJjbt8mubzvZ1wVG+QwWPoD5IhxPv
Zl2CgQt1XPlaxxkCjFhPQEmudRS2je+GQ1XoLjfAGFfvggISxOTpNOZAuPE+3ThHxAaK5vW4irA7
mqBrcAIntCeEFcVtuhb9ti76/rB23bjNNG32nc1oQqr12i3zNMSYYH+TAaV0QbsuusOo8DCKAKXf
16bN/6+SHw4PP2wHAadOobHz51Xyt3mpB0Xyl2d+L5LRAbwCeiBICfa1Ev5aJEP9LCBUQAcdFHTf
teXfimSKoYUE/Q9N4WUIqlho7Hwtkgk74NCS0pBghRRQhPD/pkiGkv9hA4lp6OEzet9TpvAtwnDY
hw2kbJrRqlw7HBIyZD1AVl3XwHHl+oQNAMqN5L45qcQAs9c6H1XyQFZfrephAwsO+HB1jgiDthUG
+SjJBSH3u3vQvuq6bNXjOve7aSDjRi612OCC2GSRRX34P1hKKyADJAPWQTxZCljzEeOa9zuGfbGz
BAMMCbnbALvR/Q9OBaK8H0PGoHQKk0UPT7XiuXILY/3OznOxg0KoS3zfV3E/y+GLX36Zy35GgNDO
/E6AFM7EoPlMoAf45FTz2A+V5SBAXaSAbxdy2fhBfJpHkWRNWsZQEgOjnaZV7BBrv1Bnf7r4fXPx
QfPxs/Yoh1GDeyuG5uiTc/ZznqbU9f0uahlwpMBZbBoMHcL/VnEcPjVAgBViArgm+WSVkCkaxi4d
dl4z4cE2mwAdw7mT46Z0dVP/5FD3nNDjQ3GCwbcIhUlyJNj9oR+YJAfSlua4H3bZAk2yvPJ30Mv9
pLIWKHZbH4sUGoo/PuD3YuSEEGDJgK+CaSdxz2I9WBG6YOWkaDvsSmgZx02qLShLt5sfr3Ivpqfn
IgxGeBUMiDBO713xwSpsSHEDraBhR4txAZgXnWQRgD5MSDyjmv/kTM9J8eFqT5QGVF3WZdwOOzVO
GAivwmRj3QOOqqCW1ro3vqp++/EByZNeOJgjJ0oqwSnwh2CQT0LZkkMGnqCG3eFcsHPWMvs2Q1CI
iHZVh0ObQZ+su5LjouLOsvBR9FAEOU4Ph8y3u3HQ42aAjqvxk3S380yj/QLDUYakffcKqH9jZQ6t
6apbfxKY8DP6p8CCIiy4kuQ7i1MhE6TtwY2KaWCVYdFUSTPPfNxEEUWmCLiLnWqnhIL0NsTO7ANa
5XwxYOXOJJR8ceYyfQ7jJ9lPfIE/uzWIz/cezuHvE2cotRXVym2/m/t8A40RngC+muNOiX4Tuiy8
gVZdGSOgA6FgtmtzNDelPwlpPVZAUfSjGVFjKhYAzy8NMtBhSpO0UegeCS3H2UD8GRFrtF+rqU26
se+TSXIXd73Xb4epiN72o0pjTYsu9iySW5hTh5qferUZ2vmor3wwU2SHGJhbKG0sP85Z9WaYVDgD
Ko8CuF6rradDkUxRf94C7DzsCgl8CrPUzKlNT1C+oOvId+OubKooTvnyqVroVa/6CmqcrDrsRd6f
w5ub7Y+t9XsHgdEQAAbg9ZCDYbb+sTvOIeMDn+6VHvKzCFqZcaHQHhfz62FN3WYYavxfuySsyCFY
AzEv7+PN4xW1n0el16rf+TTd48A2Fme3umEnnjYsrrR49+MTfp/bFZcQbfD9gC1AnydhLWQAn0E3
/a5cLJS8I5v2WTvRjSJ+SX681PdmqmD8BT4+IrRGFMYsHh8tg9q+nMYWsqAa+TEwKnjfToP8iQCf
XQWmeQCmwAciQIaPV6lRGtX9BAKMhEfedFJHh0CyqIsfHwZ/H8fgNApjBWgRPkzGn6xTFdGKhdPQ
VJ1xm7Q4lFsx11kiQtMalgYJkAIMH0maHXl17Um2a1lV/CwsUTjO44QBs50wWgR8FqcYf26uPEgY
XdeytRhl2LHZys3UabtNp7LfsqkHhpyyle1xM+uNR+2dbSd5VfXltMs4Gk/rdaVHvGrTn2iAPLsn
Ke+7SlQDZn2SVmCcIIrSnIZdkw3NHnm+0WiYzNr03Vka3BDncnDvLQdXtl20nA+uWGJRIJJo1bSJ
bOydxfN4Vqk5Wdfpw1BGJO6K3r1amqEwri/4IYdu8lGz2LMIwXjQj3X7/AE0TD7fj2iC/9/r/oFQ
U+x1vagJhApVPHQZ3HaYWPYmhygWQ1OqTNKAEZTcooeM5eujJV9vVCFfBy/0fnBAdgLLMd63ePVl
u8r2tWLr3crT5ogqmPqYXLbArFIZQa7o7dYXnfvJCfCTnhpk2fuR3z9O8MQ6p97Chtsl7JaozI7S
VTdHPZ+bpIxQ0hdAbtNBQEFfoj1tlzGGlm39Eyugz1rB/YcvoMEIM35P3V0tEEsWPoRdGeVAyw9W
8d8AVl1I6GMbq9HH1o7ztSQ4vw0+7ocxi8uWACVwz/aPWdgSFNrECybNVOAJCCEyuDiHBXczBz6T
lRm+WxqMIVTKV0B/bDgq20RE+tqp0h/ikaOTiGN7uLbtjRzRK7HAQhnDQ+wmHfhPZP49dFMCqkEG
DVOY94Nq6bHR3KOeKi0hIHSlvW7SnQR+P4lWlJt25fQnOPGZsC0ASUHlySS8+L5H/NBCg61E4yHo
7FzWfNKFAkoQj+U9Iat/stL9m54EGFgJ2sOaMQEM2BNn7tJsgNkxDpbks9cVNCevS7umFohSqCb4
UllrkIjUUSpw/hMTeib7CsSIkBSoZgTA+/Eh+6yAMY8ShR0wne/TXt1TtFeIpZ+s7H+Dklf8JEF9
xp7fnZUTDYwyFNziaUzXYxTmogCThTK8uRoo4J4lpcnS5GNMx/UOpTChUFjoOy8OwA1TRTyGzCcI
0MqPQ9CzxgSfrIDMQiVDT9NyMUDLIB/BfycFLCi6p+tZnuYmKtos5nn56cfLPZM0YUSVgpox1N5Q
5D+WtNBllUF3BJS8+HmXOeikroPKf1IjPitf+DgJA0sC8X43B1sGnLWYubCDGtnHapzzZGxKHYtU
RfspUPDOkQ1JtHR2M6VZHQMbYDfzGB2vMIn5E3/9vihX8ClwQMsIfEjxp/46LQNf8wAzcHTs0SbP
ZLYNfj1dRmB9sxpHsQt1s8tlT2AUDVo+P5Y4fs6DAQ2BsAG3K/bU1vpsTAltkN8tmOW/OelhBm/y
Wf9/2DuzJklxPIl/IsbEDa9AnHlEXpWVVS+yOjoRCEkggUD69OuR3TPWUzvbbbvP+1LWXVaREcEh
/nL/uefFdGEqYAapLINZhR9QBa4MMFBn05A2pB/h0IspZ7xeA7feWRbDEIjmeQnrtE3Nz7/+nP/h
Y15DdBnWmBxzTvjLlcECuLbw96dDtlG9XxJvdwkI2d2VwvibQ/If3qrE+pkj9w0ZrvhV+wHBacZJ
59Nh9lS8J3AZHr1kcD+CjPwfvhZm0DQBNod7+b+taqMc/QyvbDqkUacfS0Q898rl9KbX87e/PoD/
YRHDO0EWwYiYQ9S63np/miWgi7e9WvBOXUzahs5yfBbtFO3wdPMV2QTQbcXc3ywf//FQYn+dZMim
AmT/5awBx5VzydLp4KLQ1iLd1qrrRdRoAo/sr7/fB13/6xMCkwYylNcYX4wV69+/YcETtbQ+xCWS
aDLtM+dmCP0sWX2TCiqHOtMmajLM5EM9xXYN9tg5LtvOb3ksHkWR4uaCrenLEwVm/BqNFpCDlrxY
mnEYsg7Ez8S+qTUN7nhcpGbfsqHtKyPDDmI9vlJc55kqiqa06Qr/NyYxGLiAlQcAgznQx0SzHpYB
C1+yJfJhMyRAMfZ9KEC4xOXIordyDTsBXwJiSVuN2MGwm43pmDa645p9MgPw2tMgoa4dWBeKZBeQ
MTwLv23BAWivNfepkEtxl8yLo4+woAa5x/8H616s2nAQsgk8xkZym7R3RQ5Tr1nSWPX7JZ2GZxuU
GT1rGahjqLmklWs1uN6Sda/CZHFSbUui+lPeri1CAItSfO9459odmH+pb3uL7WRXZyXc64MxcLSa
zYLLbZQFD34Dd4MS6A5iBFkg4LdVtiuK6FtuKPSSnM5b7YtE6ecx7WAmq9n07mEF3/csu0TPOxdM
Zf5ElChaAJO2XU4YYrf9VIBB3SeyBUEFxNr72pi+PEjQsmo30Kv8R4Ko5NVk0uJTz6ah3gYB9sck
zIZVP47pURTLI3Te/WLT8TMdo+EN7jd5mmW2VlT02zFw/bCLp/KyDG4vJ7PfWC6faA4RNWHtjnvZ
HaKErw0vudi3iz3H1q11NJpvPc+SCjQXbZZ+i/cijn8mcbDurHQGn0Hnh8ysZAerOTvAb1IVJmZf
9bJsb0wybt/zeVqBnbm+krn95qcsPVo45JXdXJV2w+uV982CbHpIS6F3gP67B/hPvl5IF94UYmB3
8Yrzgd1CV8H4fd1g+h/SIARtzMaKAeI50TLh4E34gqHC5PWAp0RjTO4f+bCdpjmZq867FH/wC4e6
tK2JBu28RY0nfNptM7CPnlFb85yLmzVmTYcz+0CL5EkEbNuFa8H23mtfu2BeGhq56OAxuj7Rdhi/
ysKQW8nyogF+mgHZmfV7FkyyDmY7NgUE60OuVHrSQ+mrXNLtFJMOeRGXFzuIFOco3PawCsM9T92b
IMv0Jjt6zNPkuVvcW7pRuVtJCaFuoW8iC1qNO1AUJwQg5N4GE218GrxwREPOhsZdk7Wq2BGAxTgP
k6+SvgQ1gH3DU6cD+zC1ungyy4bnYmxuZwc+f9h8V7lA/mamdTwW8dwdQVmJoxSFfU/MvAB6Xz0U
Lm672bt6URP4NWzNI6JbulMwVF+4KpivIlw8n0VE4q3JJ+wj8DDFItG3y/oFKD2/n1ZcZeAAZFXw
8ESW1u2AP6t9FvriBv+hdhtuiB0F3OfMbeHWdjVfHAOcBrwH5NjKG28i/SVAnIH0bQFsNsJnPuRB
pH5suefjMeZDtDTgNHJbOYXA1G0AdKWveF6Ash2cTYMz5FkCF1RN3VFrHKlq5nJorkGTFwZV/yEa
+uiFCsm7E9IVepeW3XQfrlGxV51dPZgCiHEMrNv3jFDMk9B3x13uyXAz4iH7YzZFm4HjaVXdr2kX
326byZ4Ty+l7CXF/qTEFCGy+qSWNd8X2CT6TeNejzmCPCxN+lVuuG2zR0kspo/ELOLu1Mcy4w4yJ
5aVwSf/FGvwcFwzbTs3RdPYK++luk8kpSmLzGSocbJDeAMqZ7YIrgcXl9MbaYvoxgUnb8y2Y3gBe
dcde03k4xdvM92DKzOdUTQDOcrWuTUZTgQiQN7g5wFOmNScJb9oMzGePgeu0TClvckjIO+xKS73n
2DcJeLYK/37uWvs60bX1uyLtwgKRnJV2tSLJVNYC1uBplGy4XoPBem7Lnj0DigJ6lesl2hsczuAV
MAO+Yj7ykt20kcdHzbh9tdG2rHctpe2lK6aiUWT0d2ouituEJfip8dgdEtJlz3aOUl9hEpnO2cjY
pV/N+BXSXbSDcJZeWo1bdSeRGtn7ZeP7VW2JOOR53l6GYbR5PaYsveAmmnBT4exChJ/OXJTJJWds
/K5tqx8Tr8MX0+F4dz13B++kOxQMBxXEmrsJcGk+jqkev6fXHWYtMw+ej099d8CR7Y7pJvBjg2V7
AMQ+ncewL2+9NSNwplG/WYbj6hFl+KHCVoMjWxgO6yQFPbdQIw5LOZuf5WrSS+KnYK2sKtvL1qXd
iHlXCPfTIwpTbHgCr3EyVPEaUncb4rE8NohDIXDEigmomGS9xAq1UAP8kIQvY+jSS5cq+mnMGNI2
6aK+Zm3Gm3lhyA1FgadhZQsMkaCWol07FxOoOkKbNljsjRb48iCot09AqrAutrQ7xiNePZKgvSzl
lAFqK1JM4BK09CWJp+GExJSg1VxCxGk6vtIzEzP+AbVlUbXtOsxN70egYR73OWQsaT47B9G6yK35
mbdJWiMNOJxCPV+v8oWNANL6KH3uBLOviZqXvF4VPuSQEv5UzHr8Fvcsew5KD/55lCu7uEzIsDKJ
1G/D5LeHIjPLKxk3/tRdT3ekaXGb9iF9mhKLN+KB2197MKIKQwa7JAZHreiZeyBt4N6JR8gm2JJU
VhDt6VMk+uSEfIG8zeIVP1F5/oSRfftUEjgyfrVJcPYakvguEMy95yNkvpouDFAe9BajKwmQEjGF
QOUSKzn4ihqJQ/qUMGy5qnExkzsJazOQFQuuJB+AAmwgIOFKw5rFLgPvVVgLQMwPQdxDxLVuwLkm
pmD2lMWqkHVp5ndVBNgzWSIQBxHr9B6oPnxN2nFt7GoQQLT9stS49aZHrBb+XUX9qOssko7XGvza
b1GxeICdNse1P444LBme5OZAkCLUFdrFwhePGOZTOROsZnlmf9vGYnqcqYTwP0Xj/Qww+svW0+kx
nIv2QrOpO8zlUqD+rIhBh7JS71yB+1sG7fx56jpJHjXALazxiov0pBxQO0zU+R32xHQ/LlRjEcui
HLrpHC8whOPiqzfFfE/F2B7sMNhjkgmcGjw2b2OdcGCOeds9ZIkZ96NMzCc9Wlppz97nVuGvDEjS
htox/p6WbbpPxsHXY+JUE8WbrFMbZ8DFx7WCo5k0HJ1tYzXHwj2FQm8PGELWSiY9fY2GNkFoVT3P
ZXIHCLaDF0mQ7Zu1btal7O8n6D9kYRY5vFHjbXl2IasI71kusG7EHvY66YK7LQvGi3QpfQYJrk7l
1i0tFl3hkdKE2TiFKTml3Xy2zgEMx715R9pV38o2l+eWSVdh1McIWML+g4T6rUzZdOK53J64svFP
OyTnqSMhlrQCf8Rm2sksHJGmSW62rU8+Y96+prM29b1crz6TmvcMyvJpoiqHW8YwkFoQnp8L4NlP
RLJ1n2/jMVPD1JRrAGK1m9SxWP036H/iCxe5R2xL4SBFQdJioccOp86dSwDmc25OPCAxmMGAXLhI
xr1ZFhhf4TI2mFDXh6Tg5BAjU/e8TEGGpa5snxaDN1lSmj8spESqC/uYCpvS5FvZldlrZubh2HX5
69YTcYBcCvKLYJQDSOtUpbqV3XUFhBsVRica+/A7I3TdA/4ihzkKfVN0S9ysFjejGdlcrRxSYesQ
s8BwkXzuk/Qg003tcTthAVZIIVZtNpVgvMry3fIl+ryNSXhfitKDWhDJy8i2vgaKnuxTrF03ghpA
3GmePzqLs5RaJOv2OebCSs8aOYhtG3/zsJqAwbVzdz/1uAw6ObQdeEQ5YlkbHasS0Zt6G8HTw0Co
Sj9H9ZJnGOiTtv/Wu42f21UeZz4NfZUmwa1y/fboSfR57gKxx62472LfY1BLUwxk+XIvkpR+GrjC
mAHEkmMJ7KuxmLungmjfcBEXN8Z1WL0I27F04BVHavgixhT4MlvLEKbF4E/OKXuXpQEeO6IIOG64
TJ7HdusvA0A/VU29H3DfAc3sqyHocRvBQ7N3JZ37NxEl2QFVERKPnA1B3MmPkDSWLtgeSpCzt4j/
9djV5bbjFbIG/FyuHXlK8+Ss+3w7UqRZbWH43YCzfGPkmmPVVwPM0XWu5GrmW+i+DpGH/hhuQflW
wjPFPuebVnKpBUIQ9TRmtu5zyYrK2jl821yiTyrKv4c++41qNX3FxDog6yYUFi0TfMqHNNjHdml3
c76IR5dhYhmcDmF6l7Ov242yEePQdrSRsN05iNWaNDYnJj/mHJFmLBqZugRIGLeVdLm6QL5RpIqK
vlWwAQYsQipM+69C9PIxmgrxmHXQkavOYQHt2Tr/HExEvkvTs58TJX6sI+TVLxMogHOqe/XsULi1
vmlMPDhvHTY5ggFgrGyQxadhLPBEKbfxC56W0M78ECJb0UKQPCkw/C+Yj7Ez5QDNzy3fzE/B1fwT
oROICMYt4p0nEqqC8TP9SkwffudM40mvEqStDRjxrxHX2IQntAvKevTU/AzSERGOyNsy33meggae
NiwMhm2r2uftbNU+KVcoGsvGcHmwaMGAo+Sgnlm28BQzpqJf0zDFa8pxG3ST9yVPm0QSXEYydjNv
rMGn3PXIaxWNBKWVYxOz4U37LpHmpvPpjH0jkTZk9TquXbvH8Iqf7INiU6dkhfzYgKt3wSFw1xFg
hkNKK2ymytueESShMy0wtA40w1kKPB51yHgv9KvVlrGqXTrENWibivdoWfCuyxQ7RO2TuPz6+8FM
bdAuyFjGYVd7Q0Cm5aHfFAKfmTog+NXW8ZQZXkMLwqGPw0Q+p+DH5GHoesg9IAtApEu+8eMYQgW6
RFMKjH9OfXqDwKd6TlcQFTiF8FvrlU74fjxPoYfokfD+xoBisAfhAH7clXa27zaDNlotUTqyuywI
2Qt3NjrIRcrPIizzR56XQLLHsSAvKxuNO26Q4eklWfClj5El+IyYyvGpO0lx8gC9ywD+n0qRNfkI
xEP7Z66BLoOjaIMZ/97LyPzssHvpKnzY8tYZa37retMPh3LREwyM8gpaE0RXtnoguH+qFafTHyX0
v/PamYBUuA4x0aUsGfsTyTREFA1vpcfi0qUat3qCDTcewnh+1WIhlFeyWIBVRX7zw4XZmNTTdYQc
chnN1QA28FPYk2g3DYqc4UnrI7j8+FEAUr4Fy9S9es/WTysCRL/L6v/PoP5NjUkMzxXK5//MoL7+
pgWaTP7Mrf7xmj8Y1BwVj7C6fgc8AYxebec/GNQ8/gfwz6v7BneRhIAw/8WgJik6a4CmFRH6bDFN
XvHUPxhUlHmiDTIsoRsBD4CBlv9vGNRfPKLoWnQIjfdqxsGSSsgvQnYR2sV3qkiPRYFLXjA8T/p2
iv9GTv7FbkRbVQjONUuu6AAcqV+NTbrYKYpVS49LL3E/WIIdVbFR9VXOdnsQ8ApPg0fNSaMg4H/5
0/l4+N3o+zPnej1ff1ayP94cAhgyMThs+X+zrPEUGbaYF+WxTUqIrLk22EtsId73uhHrw0h9AzQ/
ltCeu7gx3nW/bcEs0c2gs7gZdAhoacFWGTzUgEUP2/Dl2odhil4GdY9waT07Pe5M2/q7xeT0SWTD
2vwfvgSKbgBelOCZo19tFKKTMRazL4/YF0a7LVF+LwLsGrp8dZ+mmOChGfI8xt4Nxj92deOX9bpp
SVXr8Pmw2D9kMtoelCmKiljM7mUJRcYWfDhtpeX7Kyv4IuBQ7p300KgCFNAc/vo7/GJffJwHIKQw
I+GbYMfzK5QEDWVx+Voe0YWzwrTwQ7VZ7SBI/p3xeTVC/uT4/v5OxdUJAs2Tgtb+d+8itSgPGEO8
k43RXgAlFCcvw85bz/H0SFJYkH/9zX65iT7eD3YT3CBc4lH5q+kYhUZKEQx4vxa+E1YUA5GkLf/G
aP0Pxy+Bk3Yt7kNrR/wrFFRqLBfDGhRHHa3dAfmR9zEuuyM3xctff50P9PuX4wcQF7T2h0n/3xYF
IBhRiSRccYSvMpx8bqIdK3HNOIcT5wSCxBU4T1MpNfMnyJjF7QhYsUmu0gRbpL8RaTo9apfh0ZnZ
FD01YUcAJIaxP0Klpmc1QJ+C6e0+WWwDXR17As2k7VeP4pPrXh+7EsRqC2g4JsrM5zWD6PbXXzIu
fqFpEoDGBCwNYDKAq2WZXj2+P3l4NKIDlCS9Hdc+Dit0Ea0wY6g5Qbjge8UNcqKxesfwFjQpxySK
i7c/DqJf9jYc5z0ftb4febfCypJxM2WSfA4j3t2npUu+5qsQ6FXJdhpi7XNYCmg8eh3CWmd0eEH/
TLlnHmD/DHXtE2tl1KDq3B14u0c+rP2K5YwfszmFOoiZ52g7pW4QR2DQNGm0i9sM6oYsXa3STuwY
2gQPBgrKi6Zpf+qDXjQynLAdnFr6g+HBUwvD21MyensZh3CdKotE/S2y8cPB0izdjQgX1pBqljpb
sDWuZ1j6R64Vf53NteMHkWApXHBBrMj9dA5pR2Th513L5/iQ0qQ3VZ+xqIbonTVB7pPHlMXkBZqQ
+Jy3jL+PIVNbxUnpXH2tDUKNCzJBGJjZ9pYXEtqtiPQR7NNw6rH5u/VTmSG+xItmLjqJqg/RrZdl
ltN32Q/pNzKZXYDgT41E3m8BD4q7QA5Bk7RduwtyfRYiw6fOwmnHo/IE0kDeKzrCT98k9letRiwq
yOWBjP3t9XgCn8VmLS6LoDJqNVUo4i8pg1uVIKF/gsEhbhM6uk/BwIENhOgRuA+XALSMsyzaETxf
aoSo4kOkyuK0+CT+pmlmHnocJ3mayVLWU27iF57sJRtxRVjsSDFvx9/UpNWeswjI2LghCKkiqT/B
yVpqhS4enJoNhuim2iOwhj1j8WNExbLD2mZP84DUqgs2JGE1i37GGudcZ+H46PRw11F0cgUrbBLb
DkuzUI7Qk5iXWhNyHqO+rUiL9GBfbi3Cxe0dbbOvDGG5I37dAIyk0Ds0YmWfsUv5FgkpG7idKFnp
s/J1Tmmxj7UOb3OI32eZ8rJSSJFg54iCg6Wfgmq2hFbgMxmWqGWtQyGvVJfaboKiLQ/cQKNyQUG/
BCNz+DAb3TNk2GvGY6UqWM1I2+FhlKOX4GoEtEUGvm3tumYBqn3Q2MrepEC/budAkVpvqfsGOZ08
LvDaCmxMwapCUOrHi1cEZwhtXNONA4xxYnIbjmHcEfSy4XbJAqcIOOMp8nzZRWsE2TJHwYCfGTg/
0ssfGq7uW0/D5WeWG/cWW72eRVHYE7eQtWw7gt4lwXiYZk7rlBJ7WkLcX4EDZg9j07VxRZA6D0+y
A/yM7pkpEztBWlFtgd8+JcCz94gfsRPh7bhLBpXUvVtoVYKZPoTZJG+7q7IgCdh9WCHytpcLHz+q
Fc4IbPImUwgLBlkB9cEQvqe9de921qu6J64dGjpiKPDWkUqrCLp3JKBhtnhyhJ4WVUSWcUfsCmUf
tUlnQI9wI7TjTcSIu/Ez/BdfrtCccaOi6YBMS8MpgOyKjMr+FvZ6Rawfex2HZoMfLN/afaagYrFu
lrcwwsOXgGC+GNTILmgbwHRyFdFRE0SqDB4LPt2wQfRfQmxmNpLxJ4iR01vfx3D2iF+hE2IuxCbc
HQbQaac1mfgeoP3yCiN7OGHzBMU6YOQ49AnWHo0vOcGtvssG1Hb4MsHncvF4HzNPz7lB5sitcR7W
4Jd40ytIvaW2+Oa8Y5eSiBV9EHAQkPaPdkmatBePUDEyn4nHa6JyMJ8/nKZFx/gkfCnJAZILvlKQ
hVA64xxtRzPvU1AH8GmQ+h5qL013GBGhPJI+G+oyX+gZs0pajxQtApgj9Rkb2qIKESh9xwxsXzur
sa4r+GdAti1ckjSJDiER04HKIL2ZtQqeHN6ANQHi0ZWnOYzs1LH060pTuIkUrPwTgWhfUd4uT5pE
CD7lLHwjRXpjeNiDXJzUwfQROlQwL8Y36QYJccKiEOolvrfxlOxHBOZPgkdZbYee7VVM2Q6K00tI
gequ84yNMF/THRqyHjSVpa04a+0B8rRjBxz+nP/QSTGxW20EIrK9Q9XAvMnFVWjNIo2OYWDcllQg
ippszkBHQtUFu9/WaEP6+uPx/v8b1r/ZsOI3OBQYZP7nDSvoe7BOf0pM/v6CP3arJbqHoeb+a8/5
z0qh7B9IEWQhbAqIKYhNYuL+Z6VQfK0UCtH3DTL8Sv9hOP7nTpWgcDMvU0S5PiZ+vOqfnUp/7Nv+
unDzF7YPViyu+jjD6FteY5kfbPKfBjYn5hlFZB1ciUngcdIbGIg84k8bbuufQlp/Wj/C/JA6Eezn
Hxn/j7T/R/Cf5iZ4QBgadQDIgNuHJJ7pK/ew8m+ma3MAm7u+PamPaD+VSxzUkPzQMxBStIwAw3/F
5bw+LnqMTaWdGGAP9sXw014bC+y0FK9sUz2aFD4qDeaPegN5bTpAcP/Ert0H9tqC0H8UImQf5Qjy
2pNQXBsTJKoTWkio93gkW8jeU/KE9gdULCx2pO/ztXehDewdx8AKX152/Rd/7WdIaGs/by2a8iJn
2HsQx7j/4QlhZdVb/gCJuBTN5mLMImm73fkcw2hVwhF+z0UQPCqJ5EaVW9He2yBCWOujQKJFNQP6
mlSc3Eas54gYoYcTCZ8VBYgeYPJxyKjZpZayLyGKQLc6LkRxMFciskLz0fDsQnjcS7qg7AHJr2O3
Du0BCmBxTqFLHYjaxrjxGNGeBWuxqQANOOQoAUUoHFUv0QJflsuwbWSiyp/uupVFxZLOSY2UP9pq
Sj3XEeXYhFPe7wCfwshFlRDUzWkrbzTYkI+aKVmRcizuYYuBZ4IbuDzZXEzH1jEMtgEx31lAi7ku
OzGoOgGH+jwN63wGpIFSCeiwj6ochrkKRjlcQrRsEgifvr90mVMQntPcvg0L6ttQhzkXaGJSOeYH
f21NpG1enmOSobK0FWu/G6DSXSS7puS3Du0NcTZOTYJqRIXmTTOf517ErMrY1j4U8/gOTsItRzL7
qWsCJBPfIbgPCZwkP4D2S/z8Q+o4C44UrZmvdNn6k43ltPOl668gQ2a/jZCOHrJVoycA1QT7Moh1
XvXxFO9DVWJI24DdX/xs2v51Ipxu9hGScqeGXejRFnTIQ9s9rS5nDyIqXTj8xNmNVsxnQnc4tlsi
WWBuCVJ5qrtHSlrQ+9ZMZSNChdk4me2XNV2zU4F046e2wHtQMzWAy58Ts7W7VcYh9Ah0+skjleG4
DxRKG1CPhEcOeoDPaDPhewjjArc3wGGnNIwlvkJJhnublGjIM2QU9TSHdN8z7jDHY3DptnKpdBuL
BtPCTTSX4R0IAgT5VAKyvDwOqPa89WNCa0c0al6IdEc0VOG4LzCwBLAzRxtZaFyBiZzIfYBirAzQ
1hLXaHwp913v53MktNh16AEDolKutwsM0GadBD9MKTpwKuAb001mpuWMplvx5EKZyKpTWXrIejk/
BaV59Aw3Jse+3RfxpzBYqmwo+M9Cq6SBz4hEAcTll2CJhvth3fLaSNQWdFsaPsMUxqpVCGzDShSg
AM1H7xDlmFn7tS3ghgMqswt/QAHqa5nooW5h51eBQknt3D5l6LfcCRX2NZ0k+imwFU+rzQwQEnwm
6o1n16Ot1hfEu1hDULB0wojskXbM7KGI+ugpw06uwfLEd3CZ0hNwMAEKpUy3qk3McpeWnOymDfs2
J9DPFQ9J8paLtG+Q4IXGA+TlnC9z/pLn6XIzrtmwYZEyWFOQkMaup0tp8IPAWwBAx1t/IWBU0APU
9g/eYm3EdFwclU+S4xKU/e0aBuW2a0277WnkET/EgFwDPgHe3fHpXiy2O+RaXPsgom8IrblqaTu7
3ygM6bSc5p0wFoN/jIPyCAOH76hHx1WdtQOOdhT3uFGLoCx/dEAxccxji8KhbgNOyWiAkRyVSpfe
FOtPS9IA2CH3BzFHZEeKEfuUJF/22hTiDQVaxQObW1SwtDj9b32R7qN0Ce5T9DBfILp26L5pyQui
gsO7ccn8JQ/b5DmfNvk4TYAgXTiR/YDOxTvr5+LUg9Hg1cAD5GGKaMCiy7rluUtidS6Yib/FBpd0
HE8ocI0meVeEozluwDYuxqSgEedpwV21uuc2FFlRiSDsADqU8y0pqb016YDKXpb2te0NbxQSEHs6
tJewhP/Y0aB7QEgS0yq3RY7Cobi9JpyiqKIz82cyjLDqeC/uUR5APzGJwqIKVqv56lDEzOFX2e42
stxAyaETJtdw+46tKK99PPqX2Mawjmmf6wq/Z2Fuq3wyn6Z2jW49Wjpu0aJiQcplpMf1NrGnNFvC
56i10d6rfmzcOqE0LHMz+zyi/PYh9tn2wIyibYWFaTriib59Y/CVX2KW5AatsSGamdeY1yhH8LBP
lxne4/w4L8704LDicJ7fyJRd6/JctoacvLkAxVhHBQqu+wzcn8q5nlW24EnECUqFvWIW1mi8iN2C
PVtzbYYVu5Fs/mcxo+GUcidrrTsswQwKuYWdvNKqZW45rES8rNsGhJyvYHDbjp5wKocGltbwGI9u
RgNffl7aYIS2pLv/N3R+n2n/Zj5GlPoaDPyf5+OH//Bbiz7K6X9/4T9dnQS/zQ7tGXBZkbO99mj8
y9Up8NtTAO+FiMFDkYPf8ydXJ/oH/iqD7hjFqKiIU0y4f8zKcfmPHIbPtbUihFl0TdH8L2bl6KO4
4N8kXJg5CDpi/5zkYYgoyr+Lm4OIjRcjcccUJqxrllB1YZMO1xpxivLcXRn1YVyjTFeL/ToDCUGR
ldanpFAh2ftJrxDXBgI7fAKgkjYMDRRQx7C1bHT5Y7QzvaxZ5m4EBrQm6ZYNTAWYf8iogTG7PkSR
pM+GaETdngkDAKlunKuIUTCPumf+EMB1edXG6bPrJ3YfFgnZ5YH3n2gUxOjag++70yUEuh1TYnpu
ud7kkUwloIVwI/k3IIWQ+HiokAFQWQytjowg5JF2AhnO5BFJ8+43/M7I9scKI/puw2veUqf6pSmD
MrllGN9RG5QbslRoMTUDAJ022qlgTR/Koh1ubFxi2FNs/i/2zmQ5biVL06/S1nuUAXCMi150RDAY
JEWK4nQlbWCUSGF2DO4Yn74/J9VVYiiLtNyXWWZe0xWTAByO42f4h0tQZ9apkxQrqIQE+GKjx/kk
mpJyX4RpMW59FmU7kx0jDkhhXtU1g/W4TezNWPniPupZZscKQUIMtFbOZZAOJ5IhFaIvXXrixqy8
l3vO+bTG9bW2RLDXwVp/YTrSXBdD1H/OgH67jMxQEqeV3aIPuibbcsrCPYeHrbd9VF8iLpXaJwug
mgx1h3YttuiH/sMwTH8aGu8rp6O+dZSS0WlEPlPtXPij7aYeohJo/yAe5qqEOjGI6BRMGrnFuCbJ
pdeUnFLCZsbfyPXSB/xzYygZxGJQo+fAZe1fysJcwKudm3C8ruNK7hStmlOEvq+9YcibrWpcceVY
aqBWaNN7IAnz51EV/pZK4cQCBbf169LahJmuTwUduvO4Mj2CFgyJb2vvsvTcf/LJC3Yl3brdEgyG
MJAmt9C8OhCrfn0gjG5tJCK3ZVkUN8nQ2Z8HS4W7ZDakd7AKZSGik9qbpm022M0uWZs638RjkxyK
OPH3Q1CXv+Jp+kmdZ+0bzwPvmOnKuWGTp3Rf5+5MrU5NXRejOx35sBJgn+0C6X9p2G1bJ4wvaDVy
5kUA7q1MfV1rBOqhwVg0NgOG/0vEXarM36YDnC5ncPLzasysrx4I3zM047obv2rbywXGz3kYmWzZ
yhbmBvO4rSC5XIkRyVDJtp02cwDaH0gVQA+Z5Ub30qjLBIN/ApF8vkGjDehkmntNehp49ZI69xGN
thwYszMJBMCc1QsG2qlZmkU32B0glEszNo6GW9ct/enWVwED543fQat5AL+YFie2X+QXQW+HX3QE
V/Gf2VtpSA5OUYm9jBsmPJB5Fq4/5ldxtLj/xALVxk1VOP247ROR9See01j+1xnxrOJsggyM6mOz
FjxNgSKvPKW11Y+3Y557060u84H2UJqS/l+VjDWLb2Wp+1XuKOwkhMzMV+52aQOIBKNyZyLbkKfp
txphRLrwmZPzfqymZntOzUKqv6xOmm3QduDxI8qadFcVMopOulroMmU2GHnfhoaxwM+wjNER+8Ya
xcO4QTyhOaeZKUhyZcKcg38ECWJsduNbSP/ag07uZAnfemt3SPRsXd3DSnEtMoz/6WT9957AfzSm
EFZ676D+v9WjKt+2sl7+H79PaEaU/0GrisleFAob6QiGwK/dLLhs/wHSAW4b5D3GtQGn8O9mFmAN
oOj8OOLYyPQwGfvPA9rnr3zUe4z+hOHuogr2bxzQBvXxx4ja3I7jOj6YCCfirnEnens+gwxcahA/
3nMGFK74VdU0dOzdNLlWp3daF+7yUACj1Hu1iAq5TLX4/k9kU1r5yWkYB7j71jJQpbKLrAbYUMzp
lDGVKxkn9jZONMsWyECwBps8mdPR2o6EEWBBosLWQezyAnAcjY2wJfNO7daa7jMNVPmkKpAii3be
EueugfrbfnQqFJxtSsa88ON+S23K+GYvqRXafEvfiQb1B/P0I6EDlHTp9blkLfyXjp97vDqNChwa
/av/3KoJ4ViGs2HG0Kwn5SkvaXDFXHJ2cln/MqnxcgedPubWXNosPI90pnS+/2Nv/e5GvkGRvJ0W
c0thCPgi9AAUYJoRH1Nmw4ImdaP69MlBQbq8bL08Lc9Xb+jo9GdWkE/lBuFFODs0xdsIj5FibtES
KpiXlI/NrBZq/3AAbXpe2aMCmAqFdB12azXzKk60RrX2IWM4bM0nwVp2wdW6lg4/BvBf+R0DOzVA
kHv/od7iFkAescg+pljYMjtx8JcsDYixOUe6VT7bkI6DW1/mVnNDatSs1+9f6G3n1lzItG4R2/FR
QkJAxCzun53bqu4AGM/JEygk1xEnbZUgRssQii98FmHhfZ5U49OPWQK/QmAayGA43pTYInwEDXkL
oni5EwpkFOJ8IPjk4kd5MUoHix3PRfA0qqgPrpgwFRpFrNoSoThPVQCV7t9dZB8PK0KJScZDVuHo
2S0ntcIGafmf1cC4d9l1S4tmLkOgNVmmD671Fvhino7A5VFaGP0IQfh7u84u0OuyzX33aXYwdvCe
XQOgzM6SdmDfpU1nlrgiixo+0pP4ayfR5AdjxX+QKCHoHiFuQISoHrkB9XO2gR3BuAyraLwhmUc7
84NnPOLYm4eMX1QLUXJgR2H19fYhi6ZxmCi69ZOqPL8OD3mcyPvKpWtOZxEER9p+nuM1setPTd7L
wKZXnZXrQ6HCthUIzhIQE0azSR1/oe8YCnqbo3SrTyVEqmg5IArj1f0HaJO/XgxQPR8nBOYgDmJj
xwHNicsISylb/kStlQnCprfisvg1Ivjtf22aOmjEDuGuRn+k2nMkcMZiGbwYhWiEjB9g0uOwlWCz
Nre9b/2AmOm4K6NIHymMbRi1iIBvHYEAe3XgMynDR8S+0xkpsL7vY6Dg1uyOd9A4JlR6s2he9Y9U
QgxDqDZwYWKjFILfz/thgu+Cd/dfZetLqRoiVcFnEpui+vjd+unU9vXQNz8QMaeU3xTRotdrFcw9
m2pdbORvT2PVquDKEknO16Sk53EYSPjpBMu49NLlJxuwLn4FyojYcPx5JSPP0YFs/es1AAPmILr4
M4iCr0hlAehH7jws2akjhg68HdlTEWtQ2Q6FLsiJxIRoS2UZF3SXuYq+APbV8zd4vKQQG+ZECWvh
Mr4myNtrHnTF3vU6n++7y6Z8ZhLjFTDRJ3J/Z8PcSa3XfP6xD7uWDuJDTzeLe3TaIpYDtJnB+Vqq
hiLoZCBHXx9Whszj3dh3wXijCv7NtMlkQQTZZFnQ8M5ccOlcmklCXi7bAislPvQk4ncAsrFR1k4R
Q5fULBs1FS4/iQcFqfkmB9pQQ2RAs4Mu2BTWHGYLnVxCsOqR4gEHksZc2sqnmB9fSaq5moVQSnAl
4jLvvqFD7Y+HxBs7DOA8GS2nE3Y68iJDAmo4H+ZhZi/NEYyExRCZneUiGhWGXBs70ebM7KKExvoB
DpYmsW882Zbl4fcD+AUNRthKiCoGxc5GA4wF9W3J9mOWYIJYVYe2VZ90Kgn4Rx62C7Qx1ZYIBf3+
HV3bWf2JABGTZ1u2XDPNG2ABZkQ2iHzh0vSnCY6LaHim9HVVPSALrJwftQM/ME06K89l1Q8QW50s
NlcUVkjWtjDOZ1lamJ08HoHebJcGTefilygZnNMJwTOqvpHaR6h8XwiGH8GmhVnDNzXKOGbXpC7G
bCDgZpodv5DgxKVsr1NdRuLc8uZ8+cmsc2QNmxld6GqLXid0oNuosgPWZA0HIIEYU8mxzOn6QzGL
doUzC/5uAWhmHqKI22C+7EQyypQOhynJEF0aiQIn/SpGHqbBxpA76YEA8Cdoweg5nMdq9Pgt0Nk8
PoWBIpo/QXkLObt6NBO5pYWn51/i92DuxYvpcAZb9Pb4BJeoK9kpNGTpdIx41XB72LlFJm+DawxK
TnkR+z8fPP6AyuAScluFF5s17kYwQ78GeiosJ2YaZs9VpIAe44zZY31SBiBsUZNaj3dtJPnfzokq
PuCw0MQGUseVLMObcr7zpV9WEzyykkSs6ERvPmmQwPzSHgdk3oSvyBvlRreOGO/CvHRZBSZ6hkUw
zvBF6ktYaA6/sOtRbAfdQS5mdrXI817vYAWvjn+YI7Rge0ryO1AgeTzu6GmFJjJlVVas+8C29oCl
0lbsdbmkKKizt+GPpCOs4Wt/WWa2f6QiEKYncT1ViyRRmJoA3qs/GviWravORlOnEPnnxslwW6PG
HswbloiK2s6e3qIarTOo4JCKNnPf6QbWVQVgarooUa7jHhNL8W46+vuN/yiVA3ELzdMCdvgtAMXE
AyanmniOtoFNMV6dEIgJNycaV52lQ+lyQD6U0j9AEn2TuIHODgkDEzNsRxTdK7GunGCdIQLueAvP
HBdzucK7QbYyy9JPgKaxwrvSc6zM5skLE1JCPS1du2dYb/aljVoRewjpgK5ML5q1Wfm7zh2H3rla
fUGoxGGEVdphp+jgSDHbljN0V2oKEFbfF7IbeEvo4LqcBc2CsHmwjfHeYpEGFp+dC/0m0ePe1u3E
T1LCdPyd7hMTl0p7rOcvsS5MRph5Q0p4aj3ojdOFziyiw8gq8i04rlZsqLHrxdKc8fZx7LjA4Y6d
HlVq5caz2Rq4tOcAcmLEmRKVfo1LG3LK14nPMO0k8ipzyKLv07Ed58DPUa1HFmAhPixRZnmfcVvp
meYTonzv0HaMuTJ8v/oGhEEN2wiVGbRKl590nahGftchRH2zOBMghgaoHYaeaPpgPwq1/WwoEI2g
B4JS6Q42vExOPARau9ukm3l4Wp0V0R4SY8gdh8WEXgQ+hlnIh10MK+k0MurItJab39saQKb5u8Vr
BBt3zWeTOAcNqMx2q6yIQ8uB1cIa4zsQ97ApzbiL79NKc75cL0rAiGGW6oTtlZsTdncqLntNJ3B1
luC7Jaeqh4c/V3cxcpoFe6jvcujzsgWrHjTj0P5sa86Yiz6tLe8y4U7FFmBX3n3PibkrZCLZVE9Y
UK39Td0Edf84gWVm8B1blW2ES3Vz0QofN8ENOP7YCJ/C1VDDfpr8aLzquyyB7BTUmD1+EhXH6glw
Acw/O95RT5Cfo26F9yXH3pshz5WjSenXflqqjRdixxNv2t5a9LfYdQbvNqj04qGE13nIHWziCgGy
ZtNiTOigWbEkqT7TGSdZtQ0Z868rhOlqxTaTAefUXMx8HMyKdXk5AWhu93DSUKD3SdDWu7Rws4aD
L9DhucIiL9oID17oFsRjDEA0SLWKdxa8QGAcYegixeVX6QF5Mr2DZD+tF0ksbfvUmZzM3Sft7Egg
W2G15ow7hW9dt2VTe/dwu2HondptuLTdSdzY83zHSFToS0tpad14lqfWBy3Z1ZgMBEF/v4ZjimJm
pYOwb0+j2U/XGd5BCD44htpkHCs1to44ekZ1s4nLRrjZNuxX1UU/nLqI5FPmAjTEZTHQS/ccFz7k
AVijbRMypFW+BruWyM6PdkNp+1VwmtRWGVzB/7DK8nQMWtLa7DmLpAAMsG0imK54Sfl6WdF3EVpY
6VXv8jDF9e/sG9NBtO5uprTGGhH0C1iHfNvWgknmPYKHbevt2mTqE1jeto3LKj4yoU82ltgTH0wP
eJb9L62+IIPqBbwGjpWYQMLH3UUmfew5wPkcMi8wEQ7qickwc2vB32oP5A+ypnmwdoou1i61SEnh
QY8cPX5WF5wyWjKgWE8XWvo62Q/4qBAC4N+ZyiEsHKCMeH2MdRWfDl2dB199qQwG0WkZPcSnqaXp
NbTIZBAmfaXI7KPSYpVOPdcnC55scjdrGy9TSywrIrhrkzGNTJAGFrXy7ZPRQTRCHGLPrUiJJLoq
xJQaTzUelLwkot/k+zWgkLOyrlzO6ClC7GE6m5ZYs0CtRAqt2kbdNHOnfZqFXHuAa92st6Pnd/xd
k8Qzvwy1x4RvSflNz/1j2GviZOmFFT/CzCrmjmTSKkwXYvQ8+REm2EQbVw998GOaOgm5z4UY+ylt
ipFjUbetyaVkG5qUJYu1WSPdyEA7vxgU4BW5A5Y/Gi9ER9I32ID9xEFzE9u9z/ITwxeTIr20ewJV
m1Pq9wlGW5t1ZDBhOhZBPJm7dwQoAUTmUqRumtMlryk6KnALJK6YmZo7GJSVsX3+/0qgmAHvamgR
qqc/JDN+Y1Nr9AB2pSMXnHFJiMxWzGHzU7PUc+J/hZJE7+n1NXJgOs4D5d+g76IumXliUUio/odB
jaHTX8m0HKfsep0KO4m/jZAsi/IADB1w0plHOjrerQD+eCpnbU3zqe9BUGRnLRgZfpeti5wUfHIX
U8hHQcdmqenXwVrMJ7sP9c4rXbKU1E1MNj82kCL8g92maoyuQRa7Tf4pAD3F/SyrZ74DIcB4Q0Ao
STLvKuWZTwR3KtPwkkXHDyQjg6fHwqkojfMOyyT0K5IB0cjTzg1Bve/S19M1G8eUQ3OAk80HBfSN
LDAQvck3IfuwH5OqQAtla7MCxa9kNXNQPM0QMA04r7J+vZ6qKOS4dDLuy91mWWhSQ/wWUpPMi9bc
7evnUWqf91JBF+Wl9orAV38Ss4CnMUYTlJ+D74QlBNsakzO2ab6QExR7r/fM3q2kG8vLenLSEUhY
BbpuOOcX1IKklhkF73awxpprybXnEex2zE2zAufxAu2zhpIPRFneP479kIuaGezQaoLLMnnikzc5
6AVtEClin9W2a4rAogWddmc7s3khoIVILyk8ec968dflQkwu9ROwzWUeT2dXdOXjmDkziwKv3WQ+
KrVHcg3VRD1PC7SqJDH4XRFHK5IOgGmQoqP6khAF+VNKzYImhmVZ808I5t16bVujbQNRQZEg2o1Z
nyrrEAWtGO6CtRKDBTcBL9prxNxM0c2M3WRh/eyYIj+Me5PIp23D/khUkvLWNI4upOtzZK0xDqij
L8lRYr9ZH1h1E3FXp6PmPetCZFSUqR/YTgFUYX5Rn6wmVLbE5ODQhvg14JQQzmz9A6P4jFKljMij
Xj89OVYmtcLKPZZ4CXVNxThOj6MyG0NOpn9kJQK3po1AvXWSn21vnmXHgqym4vZjS7OQkwNXuTxQ
LaftZRCUCCysy1SkpwkkhOFLgDqUOouYmVeHSLnUFBxslkd+gPbRSOiE+IKpwzb20AKLT4tOmkzU
RbadODO9Vo1zmQJeP+uQ0iRIkfAPwVbRuXKrkzgdTRX4WlhUyWpuulnnCQFMvrLFqIFEKxWvN0bo
YgBFRIAKdHcmJa80dwZz64NELaM+weUr0RqqjfRKzHJpjvCDjPLXa9yRTcDSvEYsK+dSoYOyge6l
ViYDmZDlo2hmU6Evr5EjnpVJdGsHvlT5QUPwX/SM4PrFsWCgE/p/iWVDh2ccH1fTjznRps5ktlqh
lm95CI5C6hx6nveDSx63O+mjRZSnUMg8x41InN62IJdWIqSvA/3DDyYzvXndGhXSNRxd7/fE/r4U
kBByXGEGRoymjjqrbpa2kDhE8yP3EhOfmsATI0khwZrY9f61XrqBb9tvMW1q7ExCcNZ/T6UQEML0
rCrFj1nUA4XMkBmhi62vPbCWW0QTHM7CNWgIGoP0fKTQMOzuoMXCdaDupgthJhsxJa+JPa+R+ffs
Q/apKRGwQFecCWHQTfzp/dv/a6mwIIAgGWPbQznuHnOZ5z6pdTqF/qPOAYlkKNX1pizkcKWEev9S
f+05gO0QwhDBRqYL/ufRWyGNQuqABOoxzlBRWw7JEhXTg7OG5hMJkhRD6A8e7niEghEEaCPX9bkm
xPBju56+UyJK6d8/tggu8dv1zMd2PWC9xQHhojex7JKYfJ9kYuHPz3iz2f1noh2aRO8/+/EyMzWF
NE6TljGp7yDq+nbzT1LPI8I24js9CUrHBde05Sf+Zqacf/9Kx6uMNJzN0wobjjwTpOPmdUliGAmn
cL4PsgnLS8ztzAGVF1RqB6h3Jmt8/4JvZV0ZmiCqStuZIS+uyiRN5tH/mFNpsDUEk6X/juiL6Scj
FmrCHEFx4b0mfVcBdMLQdsnibVj6GSfj+zdg2BJvGuCkWsI1IrZhGP0L/WKqxKxy2lB+7+BhpfKE
WRawW7oeWVycvqYtY5+Z1BgzExO/fzfFLR95Q3FSBxqlk7PpdXHqwjctHlr/C19xg+441cJaRZIj
QWH7EaldJLQVgSx3Sk20DiffHJbjMjRjs8sSIDjZBiMN03/VIRqJP52pn2G8jiUtupOIZN7VZzmj
5WjdNaVlcisFvodgYfUuKqRblXfmOMfBkdwGFqQ54tu2b7mt8LVBr0jtiZpl6ZqkqYj0S8bnOiZZ
Toq6IJLYCvFF2mNp0dOZdMd5NE0WWdKWfX/5/9pwUOyNenCIMrr4e2sPVBaZZa/LtybrYI4c0lab
EgjJIpMB/G5Zv39J87X8GXJNqMU5gxkNIglRaBAHf245BmXw0wEUf4vTwPQYEWYJykvjVlNaVzZo
dy6M++tAETU7iUkKrao2d/P+bRw/uRD4AhE5jQIa39wxOR8taDnxLrNvZUP78zyve13fu+Xk9p9c
pa/ev9jxJscO3A8FnaJARMwrj1WyA8dOc0Ra1Pexa4v1wQf+y7YoitZkVu9fyj36pPntaA4Y07GQ
yZsQ9tG0MMVkrark6N4jU2NHu4T2pU73KW1UKt28mDgdkN8EKyloTi2afTmjLf1AKuz3uMzS1qUF
Q8lj5vftJCryUFBUJlHPUyoUSKN8FVlTZKatNVumDRBpuJDZ2RgFpk1c1kxH7kbLETycVfqcRcCb
zKQIjUoTrykISlBmmD7mS7WXDdzcy/cX4Wi9WQPAqALdASaQuNcdr4EP/A+83TDfDzVKTCXPy6ii
3FgTvkEP719KHO1n804JXgGAi4BjEUH4t/t5alp6qo6X3KE+/HIt8FzBVTl2JtUfCPWEoNfZOzQB
UwnKWZou6e8/9SMSmDkFgs3i+h54ODPQqFoinVurhI6CVRaDtWJ01GZwJvK2xsx6EQMF0wkqy5TH
OfQKypLfgz+mRWaIZKGjyrezRvbK341NbV746hdcxXqZjoevrYnRoQOqd5afmTcJiA0qxQbqpHnv
SOmZxvLvERpfJHsXaUtTPCc4VfELFweQffPBeRu9fX0IfaJT6drGptDnLMRx7u2SdjzBGNlt8rMa
Rfi16CU61y7j0UNQRq1Hjz/T+9SD/bREeZXsWi+Rh9otqweggMguGEkhhqbwkWNrgS0MU7S7T6hf
1XU1qzHDfWN0D3lcfKkZtf0cW4QHN0EPCHHLLCf4POJufpFBVrrkRMpWqvUMZrmlCvHPyhx5PE9A
C/ubFvcPb0fXsHywVktTHFT4KW9V3F97nErl3qsscRkuEJN0u+BmH3OHAN6986pymRIUraad15QT
IzztVN9BTSAVNacgDIe1s52daPvwzuV8fmwzpMY2SR9ktDBSpU5dZGXuplAMDzkcFnBQtoUClkXf
7ht8XYXZetvfIqioSIuS4VDMQ7FnTLC0W8m8aEaEOc6tzeDV43klmxM9xSMNm6wo/hmiACnsKBnQ
HZ365m4tBlpiHgaodPssb2sH9hdPL/YPd9Hqu4P2wX0G922bzbBqylDlJ16+5Bfvf2RvgzUbgrEy
wcwnVfCQnz+G0yDDWoadn8on3heCc7ASyhOoz8i2ANQM7t+/2NsP+vViIUA5c8yTwwn37e5LgGhS
k8fyCdOCGozQbN9hFu2qTV2Xl6MnsM+acej7wogwLD/Ix/7a+S+PCVaHkQ1B/Bg2MfgKxR6vr58g
LlG44thczoh+OwDf3n/Il9/0X8fwy1N6rgvwAH8dDuRjlM7sQnsewco8ORDecc1+cTrEBcjJdzP8
xBvp1slNrhKr3diVH+NDPLY56hm5j8p2pYF9AdYLPvdBH59LqwvvOW8xjaevqB/qmuTF1bLGiks7
3hdQrfIXul3RJ0l79svoGtQsxCO9cUDfI4pWpp9FDdcbdlsd0L0pmcUhZ0NjrY+Xp6LBLLTohn7v
pL79aM9abFfe3we50BEIjyUxaQBpEOsiOKOPUwJA62r2omV98gaz+FkuslPUNqvDvM6PqOZX3wRU
rN2AnRxywL0VHDz0F+Tu/Tfjm+j25s3AZDBVHWBAgGPBsVWNgygv44MsfEoHBge003pYiMb+bKeY
kujd6NXzIaz1PGxyq62Z9jT1oaFvdTlCgEU1LUytz6CAvYNAFpn5RBJ/x9JX+tu+tC7zRYafFrGc
SlGLO3qg1efG4qVtAgZjy3bVM2OXolHJNmzj8Ia0EfW4yct/LfgdX4kQjeeSTvEhR5r1c+1rRIKb
RA0/liob7m3fLb9YMuKACGZn2gtXwxMQfZ7eTVWcQbHobB4gm+HCgTZnBBAWXcEghDPx1vOt6FOe
Ld4/Dl1tSENlCRb5/cV9C0viFbO2uMCSgwZUs6Frvr8/6h0U5xiv2WHy1OWef2V1onhoc7EsaENL
G5lxo5r4/hWPHNZeLkluQInjuAII3rH9D4SVqq85Op+LtvDOaZshPpgMi3VBo7LYM4jQRHo/7Z9a
YVcPeTrrT3ke21+sMRb79+/liCRj7oVUk/D5IrMGu/3o8fup9tFHl/I5nRkwULcj2tggtDvuuhqJ
/s52SzocdYOQiPbpFe7Qa/YPGXDYHX2SGIubBq3kXd8E4ddcI9tA65cWurRUdlkGuTog8jJfBQPm
9FCGUw9RcSNzq+DGIsHY2jWsVSdqtlG9+u2pxbLsi1Jbl3HgjPzAFFqfAoWeM0bTHGcFitr7dOL0
3jZOXn6qGfOSUYraUOS6SgIpmQpmuAw9H/yR0pRcRN1qRG/O4LuIftOHwGXYiYyLjDGbukY+SjJy
BVEH9XpmrqTRskkhbYTt5YQLHgpPeYvvK+vXOBhEhFN/agep+w9yFPnXAdT8L++F5KfGAu3C99/O
3/EnxDUG0BzQNaM7cByShcskFBmc8jkK6A9sYsTCf4DyWJga8sqoqcKnVRmPUWn9WDAhhBkfjLB5
P7iNt0jtlw0bGQgyR18Ue/QG3n4jIKVUrdawesa3fRl2Ly8kQAO9+pRXgd7baITedb0c9kuQ4Sce
J/O3LOrHln2yOncf3My/+GCNGiBidnDF7L8Qu2s9IBk/l8UzOgbBbRc46gY1awudbZIMzsXhaqg6
fd56sj5D9c651DJkvhRWer7OwywCkCyn8RMyzOIXyPnO30RdXt5+cJd/pQx8V8Dn+cTBTFNUHi3Z
WCdLHXfe8EzXu0vvySx8taWTCBdX2SO2oyOU7kmtSJhGvd/8ytB0hSmauO10KsJGPfh40H+yw6m8
d/GLZ0LCKbDvi75iudMi3Hod497XF/0/iiF3S/v8f/73z2aQul9untO8kX8KgLimB/Xf8yHvZa6f
n/7XrX7Uz+qv/99vskUQwLWghWCk6egg0EL5k2yBXmFsR7GgtH2hYfxBtqCCEwEOZY5LjvubCulE
/0GyCSKd1uqL3Mi/JXB55Fj4yrQAIAhkGLw3wnlHm7FCqwhCQOk/g5szPS639Uz36XXO5vtDWz56
Vo8BkewWmNg7AqaPzy7CBDaI197MxRGEKMNzcF18/2Vsye4wxXWlLiu/bq0F3ffZN9YKIBoARwYB
8tHblKPXeQ7nZhluqmwOq8co8inhyDKYTaHfZspFskvFrXit39efM8fWk2RC6MPg22CMhOyYEy4d
t5zWNY1Wt4ZA9ctSozHY+OOVXr9mU3+yG46aJLQEYrDUPuqFAa/vr8556KD8SDUdPdPtYgp70LVX
eYfKG1UfHlaVAtVkZtpW+S90bnM3+eAgNpTYP3K8F3IF+HoXCRm4r4aY8zbGwuaMYJ4F+VPhlGaE
oxuKH6TCY+gwBeiKKQUC0cOnpx1pedbaymvGn6Yn66DdMYlzlKkkBPmGIxGoGJI0HX/3/hq9Db0g
qelA0+k3tqyMGP7C1s9Zbrm4R1lPAXQ1XE3TNUzDbo+/j8Yp2gxIg++lT4/wg/L/6N2Y6yJsERIj
ifdkTEdr0w5LEzaWiJ6AkVUq2AAYrNTXzEtcmSI4nA/5Z5kw6QSzljWu+9FQ5Xju8EIp4NSjdwRx
gm/o7atJ/TG37DkTT1ZYhZ3Y+hP900c+JEufNchKV1e5RdlyKcpuGW6Z/9iYc6gsr1iU91/A26qX
F8CRZ0SycBk3c5DjQlSTshQLLZ6fSbxKvz9tupaD5sRKahUvp2jEzLyV9y/598PThA+8AHYDPfm/
qkKae4AIFrt/8oKJr3y/oDbjlHu/nwZMnDHo9ILv/cCqdxsF8DX43tjL2Mcn6DXa7fTBRnDE26/k
BcsPP8Z8qKQi4rjsT+MVAlarrR8ZegK1dWC4Yz6Iem7QPNgOU4Ev8Dav1QLvGj8FwV35uZ0Nt3Ub
gIeQFmBXgJ4ouQAuBV/j3qD0LtWP99fs7eFvIPwMhtAMBfNADKfMfbthhimJQHis848ZiwA2gQ1C
i8Wy5wlAGbhUMVq3LYm1+Wj01Jh/5HiN/LuLxYjWVDU0tEmYPELb29uIOtrWiwqaHxLhe2J4QfSi
lQdUFhzEhQCGWT6qdOjLx99Tkh4FfwNztArTG+0yoq2J/C/dQ5mv1XjhzWXbfKQd6xzvMZQCGCaC
zkXrmZ7i8ShxFpNsY0ysfiggtYxXQTC31XDdrTpv5XbqFjPmohHwgtReuppOaFSui3ULHCE5o71W
4aGD6zOyfSAiJZMBiQYzo5fBB1F4E9RxuiIQJRjB04WAGOjIc3uNDVClzBODGHn//R9VeEQq5hjw
clC0pvuLCsxRxGBnym6UY/sdPXcfqneLBB1bMUkGw9FjRvpCToCKa6JnNXj8HUgBwgkGpaZUnict
gm4/TGDiP/qgveMoTh+cZITpnik/CSRH2wI9ejBcWdN+b3u+ou5EqDLyLrErxl1QqMF0+V8BZTWC
mEu4weto6rItAX8KbtJuTaxDX+N+89BbAxPvKA9MgjC/Qu/KwTevp1HCIGVfEYIt7g8wONDHNYOs
qjKHVs7q84IaGZsOOXgSED9RPVOBoftXLPxDrbYBcbS+wnUjCEF5udtyTlGEpDQ1l0elwLAhomY2
A7KG5IE7zy1pcgPdQqp/xOhLUlDGY++MtwjFrPpTj8OREVqpe7feWimNFTSxOVy/yUgm3sNoj2a+
H1ISg1cGSUeK8v7eOA7hrD6lGoAGCGrYVB0PdEWyyNSJ2+o7jHq4lJuZ5kNr4JZFg/PX0E0Eivev
eByNaG1A1nU4tx3SjL+uqHobtkktpm9iHcxmnGjyEv5cBWALV8ux84PvYOpXNuHkDqhiXeKWSr/z
g+TBpLN/ZjghZEOKWA4uCBoABo47mRAths6Kg/qhpjTTYM4buKDPTZcZ8HhWYnt5guF1k18zGzEj
hzZDuhsuhnZHPBfCcKrGjXbT7qJKouB2hnAXLZB5HKb/GjOYfNv5KChdsImwpja6AHTsPBCt5mNn
lDHeNGNGdnGWmAYDXz6gS/EZmAGUmY0oe9BRp+8v/HFcgydNY8U1T83T0kU8mlqUAWinqVPh/ThI
gxbzexC3F+64mn2LxSmCTpkzGRXQuYzNOCzFVcOEuqA1W1oMxeQmt8lMjwXkZ5evzGPz1qVfdFJ0
K1CVfVeNrQF/4VfNV5dM9E/ExkFuga8zdAze6P1Hct+2AsykEqkXSpMA5M+/GA/Tbqlhakn3PtLI
+LVgS1NzA6h2GKbK63fs2rYBTiZwAPjEiZUmpPQtmtKPVuaQxjuzb/4VGBrIr1VcQGtBIs+swyvh
4zcgPxPmEZe0DtS+RNRY7Fu6CkJtF84LHveDRzvKMs2IEIl+12CMbGjpx10O2pxOWA3Nci9SivMS
ToQhm60gwZuf2o5Kl+6Kbrr1IQT3QnCrrcaATJlyGN7AWgcOU9VYWMN0T5ZqgEpTWAh2nxjBdf6C
WRyzxSCVmHm2Ggibh5xyn7DGaNJEwVwnNn+ixnJYijr1QJVqHZqxql9BXoDyhmYNf3pdHxMKjTrA
fxa2/6IKOvpGX0aXyOW4TIwdozB5dHA5E+oYS9BZd7ABG6LDa3rrQn78f+yd2XLcRrelX6VfACcw
D7cAqorFeRBpSTcIUpIxA5mJGU/fX4ryaUs+Lcff1+0LMySRLAyJRObea31rrhN2lmC6/21a+OV1
pD/SpVBim7yWTDrwv7yOtNjZ9cUafBgmQmJfx20cGVC8+7k+biXc3jtki4GEClaco91qzUyz57Vl
0uMqocVoxvvAH8KsOmaji+WWXYg9P6qm57vW1uDBh8DKi+rHbcvlAqArxsKoNSA8Rfp2EJmjbwQR
RxZfIAlG8yPJsD1H4tU17yZE+Hqf+vurjbrk5zmRk9cvASYJy0Kv9Y8dFcvBwcjNdftQFJtP1BJU
MAfNx2Jm1a1v767aDrJQvgjjn0wgZjM5K/3Gf/g/JO7E/ItZNubFkk0aGvN/MYG4M65YsrP+1fhh
KitKu07hIajWcfoX4wfAtcqtjj9ZPszVmpbp9BuvhyoYiuK8fnd5yEFU/k8Oj8Xv7fJlcps8o+84
/urtANNAQNnvXB05OsHCPLw7OTYKw7Xx/E8LB2+MYPrq/d28ITBaF8PD/5NfYxqXxUzqZhms6uI/
cGqslhMq92Z3+pkhvVuKVLMHpIojNu6uc4UIzlOUlRRfiTWrASgByx8paC5elpdQ69x2mbzHrEPX
fPYr0oShla9sp3Byzbup6RVDiJc1zg3Xp81fZGqvtvOCQLkoT0tJdnSf1HCvmWDp702Ys43J94Yz
rqDFyJIFMwT1hUmw6oricXPC1b9DaRfwZXz/S6MsaQ3EAC5cPm7vB1e+7ZOMbHL0fBxd9gWJXkYQ
JFvlQdU7rR2R1dhm3Fm/F00SKTmd3PF4qbyu2eabUVJ5BXlLd5gzFhHcV5lRLc0xqB3DFud62qJw
vvMrB9NhLKNIr6oDNXpF/YIXPjP2K9dFxQwYHzmz1d4wa8vCu8I+rYLm2iplaTX3VbVUYXZYKiYC
TKIliDJCFR1bH9I245gCcw+0rpSpqc21BFaN6DO6j3Zud3xeWxEn9zyR6SoTxT6YK0sMY8kbJLH8
Qv8Sjl+nRkgZ6TW9WwycfSIKHBc+HM9FXzGnGWu+9EMxGk9dG+gp36UrBnOQZL+eAUAgk+2fyHdt
+T7xfqoFiVJcPlnpQj7vkkFDFZrCYpNJkri+PRaCSdv7Ay+evs6di6MEfcdkKG6FQR554X6Tkg2N
PKqyZKWVLKGFoTchggxgI3fQneT0MkJfL2GvlEax96cCyr+13oRVoA+55E6L/clnZPEJDv8k37BS
6AGGjELfeW8z+LsmavWlmWekh5ARRzwgHMOMT4dz/HE+Csi4fKPgRq0+8VbR+0+152aRk7hLRAEo
FkFhcS1+jJ5sH2Ba4gAy9Mll+Jv4IidGDV2b9zVuROSW/hOuqfqGtGdlPP241Mb7t/91kd+/j0qB
jdjbFi0HgEO0mN/q0helOpXklnHSEPNXPiS3HdQlT2zA8z6Kvfcb1e/zyFBj5z2p/EyPeMu82KqL
efPvonbquUqAGxoNPhPU2EBtRviSI5IhNr3ozVt0CDyjQW7Kt+j9CqIn0gbkH+dU2CV7tETg31ms
C/xuWttjvt/a9+EBpAle5MEHSscXDxY0vxFuVsE4zd/lPIVbgBEGLivNoHiGD+fCgeRMHX153wfS
Pm0TR8lJ6t9ilWrgc9A9OYyuYSz0ob9fUGMH3KaSvnF6Nzgg/+rq6rzbHiGTp/x7E+ewlNqjck3U
ra58DAv3t5wDW75Zft4xfAaPFSsnr8h78O8Gatn6F9qz/uLOeciXpgPCvMS0CfVl6iY/J+ZranII
QccuD/m96BWt3Lmohy2wRkwe38cKPNloDE4/LnlUzYqTWUt8tAs2trXnwytRIt4/zZbcffOZlVsV
zimeeWSkCbLLjA/3qqJnyzQS3DKeyfHWlRtuUzGBic314zxhsuTvakwIVXjETgGX61JT9db+YnR7
nR3XRG7TYhoe8DCcaRkhBIOyhqbZjFk0es1tKyf+j2WXIppnLhalIkktv7md6zGjKLCoik+3iryf
X3xyy9kFZNuux/4SMZVXx9WROOnjUBVYOP4CA6xGl0XD2YuwFq6fTFqfzDd50/d4HH6Uk6uxKRQi
8QLhj/gC1ALG0IWAUeiT5Pn9mYHlqokLQ7bU2f6CxbZfxmfpLMXiXxBBq099hWfLJXLEutecUY1c
1QPjY1rMcqNy9eWzVqFHDfUqPcTf66ckQC78tDWB6SE4o0TTZRCtvtFOTGVJKdSIkThQV8Z2VxOD
QsmCiOAbR1ikUqb+RuKTPM4elrKnH0UWnOgA9I5TJ1Vmn/NMov2FRfe99JaxLadqKD23pl5KXBRb
X+KZARUkI/mN7EPb2tfP04gnhCJ8XocjU6XjZ8RE3g4bM011ZK+nLx5WJF0qwIhcU4uvGuTS3pXa
Gs7y08LyLDMul2wAfHobOZUuUvYTr7uboEbBOj7gzGi37LBmlbEVRywUXjOklC7o0MeYiUL/s5vD
1ZTxX9wJg3zr7OiTQcMFbb1MX3NlK4vB934lq7GnEk26B1pkUIpemxEJuE+L8aRYTFNV2AWRMp+Z
bxlfxiLgZZ8qZCd6GAmE/PLI9lJXqZqS9Sor66jtF/EZfHAhrTcXUF5z6/tSbNnRtfthNP5cSuLZ
swNvNKcBq9FQ/zaSsLECRW2GdPjxg5nLKs+TzNucYn1cAtY28ms0l7O0Pw3AOZR5UvU0t1Fi2PtQ
v2Ditl2yNHk74K8fLatHV4MWLJqsiVHeVpGdzPylEQBtX+hMremPM3m/l1qPyOVBQ6gdi9n36YZ0
YT3/RbjT+cLqXz+8NLT1d3Tfq/dZZeu/Q4hl8B1bvulvzByqE+2BnbvubSAqFDzK+eqM2e0+bpY4
kHcT6KcyavW//Biy2IKZiZD+6n96r4fr6dTIyWnZFHh4y1ZmeD8VQb708WKSKPrZ3eCg2GetcOGH
cmPX5cCBPhFfXJZl41nuJuPbNek/3FK31EcOGIof/fFBnop4pUmGivH0vmODj78HNZ1uMbkP9fuE
BTpf/2YJc4bRYDRSFyEH5Fqum7Z5K3ugENKfjKep9FCexONCF2++LG1C41RSuCufEcyNPizkfRwQ
1DXeI1jvQCGylLF1mzHtllWPySDbCYIi9nHoWlASVcPTeHy/INSB9aRXhwhymN4Hy6iuCttpgvBf
Cl+/bOip5TA/MIKxNNCN/0dZuRjpIVCvtp8K4PgcdZDjm3xSOvGSZGdXP0EYS7VnA8K1PvZ/2d39
vLfTHw/aw/e0ZhXI3a91VjWtwFSHgFLV+9QIAFs/Vzi2eZJ+/1G/FNB5mvCHmHwWJSv+7+tt/d9E
TEsIAy9jKfnXGDEhj/SJFJnr3gURPStmZL/QN3UCe8cgwZjJLfsxOf7+WH4uISDNZfxAeuLkaYcz
zu2fjyWbHXSgPHpPEcon/3PpATKTx2EIA+ew9yyd/+06//MDIdtROMCIBG8Y+8rPH0iQrWk1rUkk
/Nrxoshr3vjnYMMXSVnz+5P9+xP8RZWjz1BHVkJnQPRjme6vhcyVxJ28Gxv/8ceMsRTIrTW4zdk8
77i6QzgfK5Ht6mFanK0Cydvp+dxRTA3GsKNq+5eqnPXzSOeI2Ephw6I1iiOPEt0vhcYNIM8SbI58
bN4fKvAX+hlfp5rw9mMZziW3oHCnjSczIkiBI5BGoQ+kEo6c9oT0Dp5PD0eux6ucqQWmONwgvp3n
I7Nuy81hP5ks7/0s8T7N/v6y/nobuXGuibabjollYQP59Tb6hRxJnZhvi6HWM9P+fSEkBq+bHkjL
mtz/LEuQBojvevi3TP2f739Xxv3tmQmIPeAGm9Ptj9femheyik2Ivx4hXCSW/0elNYheeGnJ2+PB
wIEB9fKXOpezZFSi57K6fX8tsUjWdwMqMs9FN0j9wvj9BdW/8P+oRqnPIjBkoGpRCm1b/vzzc7Fs
+1qq3asvYPCo2kuCtg2cz77igfm3R/CfH8WtQzwJZJudPmaTnz+qBWC1gRLLL96XIrMHzYJxZIOY
/bcW+C+9NX47Cg0UcTZXkX0AM+vPn9WZxJMBloy+mMQC//VY2T6uEhaOTqu3k0s4kyBstq6ySbIH
zMerEJqINSQjhOXguVpMJsHfX+0fEpG/XXBqmFwCTLiQH5ja/uGINE36RfAvh5PaMUkMB9tbtUpi
Ml176v8c9o5Ge9IPOTXfKG6znV0sosp8tNorVhFIg3JC7wRQkWvbpSZi3kPKyUkh3FizeP1ttpa1
hSA3s2mFfRokyIAclLhNXsehbabdHqFAmwAatKKMEiD+fKt3/Pvovc9Y+2ySnLusay253tR5MUdI
eabZL5HektG1OASr+kFJgohRCYbIj4VTYPBjBcniix6i7BxCXmL+9+n1fQtUf7+aCz5ZXilsWfXy
ZJmxUBkXvR2yf+l0vvYTSz9/Cm6dodGLTON9ZhY0bblvpgitvYzrYWyJmu0AKXZl6osAvBP6y/dS
jOR1Dh7pfYH1fWVHx2/h+u4y1IuLQM5UvEDI1L59EATvGU9tzW5nvjTpopQ52d/twD6PPkNTNc8O
y/HIuSU5IXLFufJNQxcphllR/93e94cR4lFHEuExtZSDqQwFdD/iCkd/nyUGwT6At2PpoGqy74GY
i2A55JJJR37wtmje+w/0QXSnjbWpafu34FyhWX0oBVXwPGWcI3M4FkpaxJK0FovhPze2xEN46fnr
Yn+GZg2a+ZZyXiYesLxXtX2oOhK12aEzoa1gz8eCHv+hg6CAjHBZbRJpYCJRMZkTlox4CgCibGRI
1NEADyymTb6U7PKjUNGvLQtzOLmIjZc332zrrUgzqIBIaNuga9XHjooQ+Szheyvwxxwp6dPn/nXY
8j7BPlI0Phn0P9Z/FOT1+nXrRv0yfB8azfdVahc0NVtJ6JjlJOIZf0ZrMcPmfcBh2Lge4wXfZPSB
l0sfPokOPtERgHjuxUWeQ+TeSoJUtnLJTjgonYvSdPZzq9b5ggpL/xgo307WyCtuAwTIpIW7s/qQ
Magv3NwDZMPTV7xVSjQfc7OEoBBZaJnDxhlPbMIpddkd6Cphfu5rHkdc7P61v5QiDdyi4O6ahoJy
v7qHqi+nu71qRvPAmmI8hJvpNIxYv/1SiOnJBhV+pVwjv2rnYTx4A0wkBDL5xdxPEdkBS/gQkC2H
3kCUX8tBZmlTwLbaXLIlvSySl+Fut8ct6+hOd8KDIlSH5Ga4VQdHhl95Dtknvqm1n07oMVCrYx06
1fATSGaOKu9YQOV+Ei49gxjKFCEjBmHTz8u6h6+NAfSQSEWyNkiTPZj2aF5ihCzKuDcMABqUD4+K
kNNvQxVkDxQ1S3RUoxN9tWhBsc+yhPU421VRHsXWGQdraMfHYXYphDAVpMO2AvMYyE2MvXYJkyyI
siL8WM5EJ51RRkxfBptU3EMPs4PtV9kWWzw7XvgtHL2gTY3MUJctIAsvda2xelhnoknA6PRX3jBa
MsnCon81q0Fcr4FrXg2+pUdohg6cvdG8XK4ss2+Qzs5nKErGZVk7hZ2GzH64WBa04fsO4YLtvDA+
LUIu3ySIjsQurf11GCrimiJAmJfRvg+M3KIRTYySS8EJ2pd6vYSDIgkKtUR5u1kBEzFbvWTGAelc
ItluxKVapTraYrKvvKZdiZjyXrxl+wJVLLvFIDXF8zCNKSVPs4zztZ2DlAQGqHzB2N2KwlWfNrGy
VjRpu+dks9RoM+okKHP478iT3Vc65n3s2E136ilgAAtuxwcAVfUDkvixTupxzJ9lscmPigwnGwrn
RCiSpUQFNdRs6ASH1AJ58NZix5kZLhilhgLg3T5Xr1Ur9pjmU/vS9QT8CDFbDxEwqrOwVZhMyiSv
sezc1yH01+uKPsQcCwrBfGg2YlcwJDvlKb/2gW8DwLfq6FUZLLZSSCaso7xqkNh2fDIibOlD8ij3
4GIkrOIe/RCak6VQzza0shNmR+tUidl/xWn+vLB/f95lu4cnKRBLV7LNv21ckFOB+Xo6sDzdnkYV
eRkkbEknuc7H2ISDcyaxhiBS1sdWnAdD9Bx1Y/TmELT2oVJZ/zbv8/5tYoCnc9DbNy6ChxMpS3Yq
Vzk+se41Ym/p5mtDDfXn3ey7k9NYGYoxyty3xWa6vMtWZiSzKsnIHb3avwhoGCVi6KpT7U3qGc2Z
w/HP9qVlds6x8p3hE/VCeR91hbqwtiZ6alu1X+VDJQ8rPCC9PW/L2841x0s1uct9N2TqgwK48cWp
ZyYHW24z8W0tDw+1tjvLGaerVQXLuVxWp6eeFHanTHOS2Laj/KQcE5136JbXWVaoh90Oi+eQks4n
uYfjB174OfRDFdzsljGirfLLY0P6wzWdd/I5RqIr0hB3EJGtaOSOe2709zWtgXuwM0ImKFbMo0LL
/kmMk0vEprfv1ypypysEVDVVi7b/kDsEeDBnt+vBCerwwqIXmcxid+/COXfoGCjjq5HZaOOuN8/d
yyjZ2pU1eBpMlNrD69pz5mA8mL2qcR81JIhcL4bI76n+NLewTLqXZlSv/AyhFPAtXoaWFUw1BdUt
QcjIQj0yti+jXtifiSYmdxcEh3mDBGl6Lu15lqfCbiAdRxD3roi4UOGR4NMuumyLUKT0l11c//Th
0zDaW0wC+0i6Z+tkECENdAhXG5Y2rrVvLqO6lrgjm6O1kiZ47pDi3zmrazwEXVSKBFIvQLoiEuqx
InerPdCK3oqrtqx7Au2wrqLUzDLLOAXzMOyPW0j+SHHSSw8zjeTaN33NVetJvbusqRWQZWYFrFyI
CZmy7wGI1ZA4k4WBKth78q/Nxr9GRphZ6QLxqL4aKRCML8Be9xDaoaEwlerQ2rxD7qTBUMGlZ5P/
Vn3YnS2z53hbJcTqS5vJzjyHLp2KkwS+qdJiHrzpKTKAR6EMypsI/4yR5TjQDDdan0q8bz6JNm7z
0G+WsZ8WNsAasidt8xqnCinHtqK/cBM0TKdgVCWABCpulxWg6sSHF3U5GkA/qzv4Yn60O1z+zlzb
lPpRW2v1mLC99m4c3SocYbkSI0vO1DT0PA/hPkgsEZvdHlxraopriPOVH7cd5WftWJPgidqNhlQw
wfrqsHb1h3zxlpu6pHybVmu5Xji5a4UpCIwioFRXKetc50rQJp28YIvtha48kcAjUXjRGiRtlZGz
G7i1zuSjlvgCV059nSOWJo4SZJL0fYb/OgfKMdkJS7jC6BM0A0jkcE8X/uNmuH3AwmwKtxLUGw0X
vqE3DTIRvzAJydA/FKIhoSSX1hod6hYYSnEQ9tp73o1lzP70DBSwJbNFhu5rPs+f973In/NCfM4j
gLqwmpb2aUFzAqcxw6XEy8NkkvCx/YbBftVspOoppyS7vVBRIqTYRRwgHyUFp/XaJ9U1fqqUj0Ml
BLQTq3lsv4x5th9ht9NRy9fshs5nCDJ7HRaZ7rxs3PtoKJynAGGTgm1MDYrxwICJ0ektX61e1A9C
dkN4GLBRXw991z9NchjJ+iKQQduWQNrGRrtGZyhxMrU72RxrmXlPXW1ah2gseritnnFj16t7ZQua
qX0+0FSP2Baltp3Nr90UTKd9te0mNgNewqkZzUSjC8vvb9E1LkgqddxYNCzmmkBUJYjbH2YRRxho
0bYi1JzOA0y39bBRfH/aM1V+zSAnyhMRNHOqeCgXqNs1OfeTzcu/9OuG6AjWFxxC9shbpzySSuAn
UyeKl6rMrc9UBNcjYqLo1JtRewxEUN0blamSufWLj2bXPjcVCrWcjdsxsLPqU7/YYx97hH9/csxM
XU62k5GiqdYqTEqKtpeZsDnp3KTyXhKJwybcuSP6cbqcF6v8UhdO8LnOcojZlrNcgykEjSlkf3Yo
Zb/QFCD6mjltxTxcmfLGBzPLupXJUQ9C94tb60361rX6rb3aw1s/h0Z5INKGBi1F7t4/d8QiEGSk
CAGkB7b3FDGDpbJI0mAe0cyryrtpxGC/FUUxwulqOIa4grsfJjW/FzS5z5goNuGdYTDYAeBfiIWK
tVadX7aiH/8Q7NqKpBbQKz7z4l0URv1wmS+MsfbxylfGBWh7+1nrGY4WOTgYXTdD3HneWr1Ncyh4
PbDzPPZThkqrzzznmpaiuhJk3zTEYrKkuV6HSbzVNtCgZKD8Ocfl3KxfxnHjWeGhZJ82CaqrXwH7
8I90CucDKGznkuI5mUULeFcW84E3f8M7PWfHNijGK3dj/xYbLEfGtMmk4R0M2aJFxhHnvRDT3XwK
xLwm9eAQHmka0rydlsB60rSTCLUSa7jYH5eiOS0sqi6Z/brlsMqCRC+5Riw91T4YPRneiwXlj7hb
GW+t6YmDEpCsY5QyDKLELdqicmsodLNPi6etk4rAIM2jYxtLRvcmS5s1tdNl+8dumLr6DivjMqTs
KrKaKS3y+10kypryhjB1kuM7986fHBLSa0uWzmuDnNXoktkI1yo70sirV/OmLnq/jxJ226tL2Pte
tMOUBLxwvS0t6KtpbCMqc3dLu3nL2howQ0ZJB0IbGzBxD8YBxSQRnPkUkRc5CVl+zPOa1KYUSqOi
vYNLyOlUPK+yx2KY60TM81RMRvvnIId19g5A2sq2O3iSHuBTZtr0hE4CAdfYpWpzDbMiO0zU3AfX
QMY1VSis6U3MyO85/W+tEQUm13Goui2NRLGC2lCeXTy9F5ENoRshYxPpkq1tZau4irBb0q9Ax6C7
KDyHO35sNzNX/4Tee+d5k9YQlZ8msRQajQBEaTfY2WbV4vOKYDoeXyaCKmV4PbKgXG/NKjI3N5ny
YZI1YCOstjNdFK/qqzcHYMXcklY3Tlt35Uyc3k6UKuqPIUGM47TZkzN6ogTlioC2dC7NaZJbjz6q
HFnjsHfI5VGIsGI+NsY+rWHe3tiIzFi6i4gZk3AbFlGheyrHoN02QXV4psJbJki9pmZxD3m3umVz
EAtKoIjaQdeH1ztLv/CQEb8OBBZOXyRA9bsycg/BtjvuiX5k+0LyS/NsoPoh7a7HFBfjXlz3AyqY
9qvZkShP98gsVH3o/SEq0lmhn1nj3ZY0RXd/greP+v8yKvP53kO1e0F9urwmXsxJSGWfbipr24iX
dFqAwTM59A5Oticyo5fgLFnCBbHTic2N126pydUaTdSVayhwxiLtrr+K3cSlmymdG+TzHp1SkqW3
x6E0FhJVYSIfWIGyQ8wq4XknSJpjSypFuL4Ze7ZuIrbyRVqPYV3WXrqUXfdFmTTW46EiT9bsduj3
sakqqziwnFDDxVR49fw1N1ZdcWFFbXfJTmD8Ef/YnBnHdrJCREO2jDqi9dy+P7ibOVxYuI8/YaV2
KVgGmZ33CQVFYlfjLdiG2zb0zSm1TW8aPyLJgM4SKwH9OUFrIkGdTJaN3oniFqHEttvGrmQdfrPS
CFxjcj+DQ1D7zaWRDz0S+wkEgAD2LFokJfZGxm3YERELB2gsTvgpuDEB/JHYWUN5IUUjq2SiYPa2
I6RgbGTRw2SYPee5i6NvifV+42anbpSF0QFMyPLNQFRF8bAS+bXBNDx8ZnO5FA9B1Sq96nLs8oIV
jH+pAK2Vb0yRcAgc/NuP/eJkN8g386+5IjiP5LJ9RUaXQamtd2DbsSjN5Rms8nS/qKbgFLDX0bUO
2p7ZNGgxUdRe9KhDH4M0qvrlbFG0IK8Yzc4fi+Pib/Tqwb3o3KpK5KK8J5nl/XG0O/OjrwYrjgL0
kYXSsc0ESW4xvqzt1sKkVqb2NMyYzZoO4X5UztF8zn2Fam7odmSqeUbAQrhEjZZssBtOIP9u4Go8
wIOx6WB4hEzpwAlk5ZNRhRlFANzayQfSd/NuG26cSUzXuW3NYWp6uSA1AeEJQanBiBp67DhLVArB
Z4LxwjxuWYDfSUOveAdIUzD8jW0rY7/OImQytSyLlBd6hSKMcsn93lIBiHdfCP9Qzwj/Usdsy8MO
6IEKhYfMDzlLK9LZEX8uQ9Ed7GxYEzL1tk8Bs8V8tY6dEmkj5/Bx8NQ48XGeJ9kQlFSBWru/cZrM
vgqJqgqQL2GCjhWpgleQnWyAEGV9uRoC1307VAnaNPsVt87U0f8AxpqU3lCpJAAtQabdslXg/VU4
ZoepKMOG+Vc5zVVl2ZuHSX/xXgwSSNZbKlc15FS3b7e4Ea31qYxQYhC/C/gXnvJAqObibWwKIhu3
hcxMrz20VlV8ACWhloT3Jqs61udp4SgZ6uvm3y3OQhnasfvsNiRG9KNE/ZHHgEw+OUPbf1RjT0Bi
2VF7hMyNgCufGfKN+pTDbMpZW63gXVl53KgJ29FA3eVzl0/GWVU81Kkq6+Bu1Nl6o0dsPTtyOAaK
6oiRmeELFeMyYBjk/puwd+ewuubwOKvNPhOHMtpJBW5Xr9bMFklPR4knGIbwYnCINkkBu7Nwasto
PcFHmptHXLxlqihupYqh7ibS8aYDyxfrqtt6IourxfpYZNv6kfwXKxbDZGLp9OpDGzYZuZYNuaae
Oz6HLPdP8Kystx5l/EeTH/FiY+XCYUX4iBcovFkRH5zEPPLUhdMrwunxXkzmlgECI4ac52C/j3Kj
ZkVjue2J9wEgsCkcnBQc3BVVNON6kbb6o6LYkYYrGxXZl90er4XVv4DSd5+qwnHbxKWqfxais2jR
oQCtHefLNlH9V4daUA9Sb7yg6nZO6c1nW/CRHW3fikflDr3r3Y1VIZnlB7CmaKaUxJeNeGHdqlbS
a6AR2t+5GxIf8ltsPCR26vSAZYqzCQK02s8IzLfxOSvXxfvidQCaL6o+bEc3yVxljkYazp4LHIIH
G5UNvTZ0G1Vklb6ZIgi0dpaNobkB/q59Za7naVupYsa+vXpH1+2W8LPfdSOTihR1szbMYxq/lbLO
Qz8BxsnPc4Q2LtovZNIs41F7bXi0eWiQ17seEtVC9N9MaWzBkNJoRUB4GMSy1SB0dnLaUDGJPNPi
dsagDmzLq3w35cPshAROHktn9ZV60RjZmTiT3QvZ92FlKtfqtoL9AvGJhAnwfQdTONMg36Z6n60t
5reIckuW3mVJFu+iYGYgCoddcUSG+KbPxPVzM2pORb7OgfxjMvLd9ogkCmv+DY1+4K9XxjiwYb6q
NuhmfkJ+FtmAx9+3537ukNM1/M45gSLm0oXV7syfu4aUysLRxL3wre2F9jZBLdJyCMfrFI3yIShc
Us/H2VwNDBhlRYvuXw7g5/a2PgCEAph3iUOmS0hT6OcDKL0Nb1ReBl/r9wNo35UnbR01jDijpy/2
3v/9/zSHd5rD69e27NJyADn3Zfw7lcHiKiOA+G/bS/o6vv6v91DN29cWDsQVf5i+1Nv/8EM/YA6h
BcwBCoAWDnloSv5CORhh9F/oPlwXzHIEmxQ4/H8HZxJfDScK1IdpcqM1qu6/cQ6O/1/AmyKH4jON
fxpv/n8SnPlLoJlH79u0YGWyXtCogH9Qqdg4FcAis/xyBudQJFBjgwfY6vsRH+14KimCX87mW8WS
9iyk6y4xE1X0OPfzeIFpej450pIncywBlP/tMv5P7iH7ZyGSPjROzoPNghIH2OSvpIl18DavBvN5
DmZP9HdRVJt3Iat6jsHIPKJTpv6ptFwD5zhOkjF3otgQM2SUNZqyr2HXWQ8DfUvJ4nID1fPHLoip
QIC4QJYsButTS4HBJ6KTqvJxn30jTBuipMw7AhrCwUih7BnhhRappoQqdWOREnhC4EiKMrlWz8U2
5wTZG7z4kshr5GOYDQ38b/RoLVxKasGhmqgu2lt1WBVMmxDv63Sgeefc7xYFOIrLTM1KouMlwaTJ
44mK+FvLpvyR5mdfxbNL8yUpC0zwBAJ5q3WcM7toLkenb+ojKUVU0ip2Zw+dHNJ6yZdjp7KXNcuN
Ew5YdSnzyjpNkzN8wbWuEIx7awre/crK+0uE8MOHoCNLzYrW7RTQWrqi0j+zpJqNlLhvibE1qvxb
CRfiusuLI4UZOBpEDvWP1Ec+mQ5LKgDlfZ/udVN8JPNKsCKdKIsaeW887FMdrWzitwHB9rxe58H+
ZFIVuFOs6uN1jzqW7Itv5UeSM9w3NbRVzNZ5QDBEOZ9Np1n6jxjlxCOeepLVs7C999gmF2SuKgvl
fdcMznOVK1YJllHe7btkw5PZRxk1y4fNNAkYBpx+Xn3hnbDodkcRkDuWWMqfEiSDPvaHwLpYnUwc
AhY7+AxMWimm6M/uPi6JRTTDA1ddXoV+rdu2jXmZIx64jNCTXqIWaPI068zmoxit4QNIiepPuWDh
T+rJEE+8FPdbp7PXa2eGq0Tcqn90YVoe0GWXSG3nMWkgGxzssh/9mOvuEhKPeTMWtShea4Y9K0a1
kr9IVhXAkOXRDOblFurIfOUtw3Ro3DI6ubJoDqOxdxSYSwRxqEsfi7FVx8ncbQTwmB5S6GBBdlzY
IUBfky5JJvySxFgbg0C7aDp40WK92jmUtLbatm829akbiJQuK6dVXbikQCwJQQb+p8HedpSs2CXO
aOkrlbKp2grq40G3nWaYDVUckKER0mlqA4rWkWx6dijRlmpdvQ5XyYwP3jqAnnKJCzqTTmIBKaNZ
e1i5juc52BUQRIv6e0595grYJVfPnTK6jXN1qCBrHik7U5vu4ER8IYxqIY2wWdSHndSha958bDXF
LoH9epSWnD7KAG2V+ulC2eAiNnGz+TTj+yOvfYwWGixm6Z2CmpokkdjPeMf3t2DeVxyCg3uO/Kon
z2+L2lRY1M2YCZdPcwEWIxahv5lYKvfOSutS1VGSL90Ct+Z/s3cmy3EjW5p+lba7RxpmwNvq9iLm
CJJBKkiRojYwShQxjw44HHj6/sBUVymZtzLt9roWmWYyiUQE4HA/5z//gLvL14qZ9bDxWgDXVQ01
TZ2dsnGP2prh6JYUI9mKFMSkvMaGpGdkPDFurMlV9zaSTaRcZ1FY3HpwTIGr0ti+xdBz/OR3yqLT
qhKlKddlcevyYlBZYqmJ2BuZ744ms0Fo0M0ENbAdYF0gCow+o6J8jPqqvaSD09dbXdjOTQQD6JpY
5FpuaHLN25TcggfmmEaxsYbU3Zg1f++zRsWWZjk5qdnrbkbwnrtFG/eZtqh6CL3eWsfTUG7KZsy3
bM9svp7M8+9Z3JPnnTLtxRCX+JA7iQuv8aVxUFqsmUyIi+2MYbplZomBW9xAGd65Zil+EJ7XnijZ
x+eYjm+tJktdrF61B0aGm9nAJWYVD3VyAFNU8InbxL1KhMp2wai6e/Bu4qMicKFPFsTYp1qV6SWg
LLYOEnLIHbZ9DWwRMFK0z0EivxJmDv3GxXkTZGbKim3kD/lL0oqWhHlLq5s+JD90FVvjApU4YQ5S
MPXJraF7I994SnK5Iu7VG/u7uAgjGXctwtGvPkGkxToW5nxNPAuT28nJjh0Kjm07eu2WvUEfUTlF
X1SuLP7HomOf5yWn/WBIxawYrHNOyA4ySwCezGuDa2wpRbyi7U8W626rPQFQpdGRTmC46qENvz+2
gxEyFjSxmV0NDl9SWcFWJv73zDHHzRi6GCe32nlMrR6CUhMEd1CVLa5afocmJFiIXu7c0k9fZxFb
/+wV1zEo63ct66MIhnLleyBZsVXSm5hVs20aNztPXh3s3dpo+AHGJrcVL7oLuh2OZ29gymAzvdrA
0bBXA03nKsVG9ita9PZTZzv6yvVat1gjSKyeUVOr78op5FWOKGjTlbXeL3XJt8LI6++sUg+91hTQ
zLpZoMItpJWECZDC1Y/jtLtywhasBIsjUssszOXcLQ6IeE+NZYfL4dQZC1eH8O1HH8P7atv6bf7N
Jds2306iIoo+dmPC5jNJo43Nbg/7IkyCkUg/lCr7Jk/J+x6U2T2nEhkgdlw8ruTFcDN1a5hufplM
VGUkCe2zDO771nG7YF5XDLNuZDr62JBSeN1GeeUeKbHqr0Cr/a4Hfd7UyP5oG/HhqXlZsuqrQxfP
70zVqw0zY4vvCNSfgKCIGxyYrGvJdsZbJIEg4lkxbqXuwpymANhggWBx/oIs+Fki/IAbAp9zPZJW
eQI1M4Ayx9BwV86ko2Q9FCTWbY26LS8jqQPnOsumTy7WfPe6UKaDKR/BzlC8bGM3SHmJxchhTZL3
DS4KyYYhom1fpzamdaSPSabJoCzQY7zSjbcgVWpDdxt8h+PWfqM9bhSjB0OcAleOS4Hp2d22zGqy
TKy5d1cd/fwxJDiY3DIGjNd9ac4ugFwx2CttzAH4YZapa7peiCzEiDJ161A6eGigsu6JaKrJoPF0
S3c/cOh/4q1FcmOyBiKS1Qr/pLKOk8AlUKU9MA5E5aHHKIk4Wl3qL4Rm4b3Wlrup28CQrK/Jvwo7
gBz08Q5RazX2YzddMuWaaMegPGdVqB87W7QX5mPB1zYKs33tx5jNguMa310LqU6I2r3at7LTiy1I
aTqrxCJXgEFXMuxT0KQ7MvqS8hQ2qbiNh6B5IzXOTdeFGZtHcHaIZ1WtjJV0UMtt9NAmTn/lh5Nd
+78X2f/T1v1NW+fhS/xLO/Knrm79gvca06cUXvbv3d7x9Z//+P2nfrZ1iOx/sxyMHszFPYvFzy8c
f8j+n/8g+Nn9zV2MxcFG3p1SML74adLn2r+ZFtRcsjAw5LMhcf9XY2f/5jn8QgxUSY0kMsH6txo7
rvErY3uhpFs2tSjKCfJbbHfBEH6hpPdovpt2GPS5Gh0ctFjzuOA5nD3rnCPzk2940ynTatllzLx/
7mtXfc5dSQ0qRdU+/XL3/kUz9ydRwTshn0YX5MKksfOXT/vLp8HJmFzXZMCssq2sc5zPOPAOQc2c
Vqsewasa3eE5UA3u5F0ZYsmKhgaEDz1u4AKKBtWr6Hvzlt+RMK8oCuszuoPQ2k++F/0g9tvSfwOx
2B9o6O+UfgwV0IEgfDJpkz984sXeE71af0bwHscbn5jFz4rOnMDZYKo9igltZXRKjDbnxS50NeWm
sy+BVy0m/XX/mrA1Wms8lCnt+rRmsy4TEwpk5+UoYUk4uMsHCEPMrSjEoKc/yqS9QuLv6W0qDf8m
7RJV7v/6OfwRuWLEBWZFJgAPAlCBgcgH5Iq9krlUU8gzvlbisY5Dy16ROMfSaKpB3400qvdNZBVf
/vqyf8SrFrlCgGIhcDBJo+K3neVj/fL04TDEbiPj6lyFs3VGwDyc4WUjCY+Sx7++0oJ8/UKbf7+S
MG1zkQNx1oUf1llTIYBroUydYeG6LzhYdMU+6tk6VzRWW7NFW7t2zAmTYPiVY/l3i2ZZFH+8PAvF
9mwX5RQWmR8vj34iBReEiBe0uYcT2uC95MXyGVDVyy1znXqp8bJkPxbtCMcyr4MfDIYxRBCTe63J
2yPnDX9sxu4Qpz9DBrKdTRLSmDWGajamAZuM1grJ1cFzcM39G5WH9ecHhVaGbQOVB84tqCP++KBM
f/Aqz4uMG2uIyhfimGW8soy8r5bKAbOp05ik+Tc01FBo5xatKVhtuma6FLz1wTzX6ymJsZMlKvJH
ikLxFeAmCf7GSB0J0se7jMkLi8hnSm4B/waLEcovy8nvwtREbuzcZC6yNBFuepHM+yVBVex6RbAp
QwDzk8JzeljBIgngI1R7aZOcWrgNxl/0WZcGs1GNke8YP41ZWR8nCV7eeG3zGfojuSYIKNcDdVGK
k47DxCvKZHUeG0MyH2OUEseWyFYMctGG2CopD9DkioudxXcxtEe9KoagPfdR+9DbpUFBpWxuZDrZ
7A3uMJM2PIbZNbFq4XNkQspJ/NC6nkG1xXo0E4YTLLr0aBCOW67GiTAg+hBjM2f6eyOhmA6oNyl9
yz7YRbIdjphX2g9tYo0EwQaGlS7p3NE34ZjwbKl7jK9DCT26aSSTH3iyRwuQ5DVVDVEMDL/z+xSX
5WClGAmcuqgb1hP3gSGNLW6hgekto4h2Z1naUtsCRBMe5og3xVrZGDSXZBBBdhG3SQT/d4PKtj9w
1NjjGo39kt0SFF90aSZXdica+rTe2w8iM2z0m+X8Evp1t5WmJt1a5WG8M5iVvMCYGt9QtjQePvy9
Oayq2FbxTvdZzcsxjtspVkO46+oo2RS9Ux4q/imaRLerudEQo1eZzDLynyPKVlIv9Lxy+yJaO3Sm
JXP4fBsv6rVPo0PZl8oOEUTGSup3Tj8KuddOoK995sJFhOauJVpyBckODuMrXYdtz89yNPQyExYd
W3n93SaOuscOfOiHoTHPfd4jFYFz0M57VDF9hLwghWGe2UV9b2LWd6QndAjf5RlE8OxMwVw8gbJK
DmvEedgX+dhusbeLzTXRjVZ0m7TY+NeHfArGZDPpQvTYmPcOK2qMakuO64GzcOcbSRbdUgk7PsmE
YcM413Jw59tVRdoJHM05vNCIQzpbG5GwBGOeCMkwGqIIQ4FEYDS5G4ugKLeSaHtMOau4nNchnSC9
jJ1D1i4TMmdhoU+xpKs3kOLWcRq+GYMKUhPYwAYvdsMhPHsQO6NT5QQ96ajriqzCeTpIk90NDiLR
A6ippZrbnehkle6mwi+ngyll2aw9m7nuOtDeVIBhtil9sO/aT+QQzNjYO35ebvjPNG5hvVGtD31V
PWVlKcqj04m+2OYgupd56B06bxgS1lUyJjKo4EzaSb+POtVU9xzGzomBlZ3vhoZPsK178KltaAFK
LoGmzXhThnSY9EdV0yG4IWC0w4y52MSREw+bAOFds0oDSX1SYbU7/2B2KHxocT2UQVylkvZoEfh+
YECT+2s0Ka2zSes02sxDlDPsHLtGYDszZu6aYPZsZr6czcaVGRXuzmoiiOFBIoJmC/gy18cktcZ4
mws3wcWOf7eyBFNplk+MhhIgAC4PNDTja8cYdsLggPfIPlszFpvpKlSu4TxMxWgPZ78RE1m/jCtv
vKHiSIpRsvEDAm6Us8MDyKqeIbhVyanFF0Xv5OjN6RU2ZP2Dm9nei6cjeC6hxeLFDwH50lb6c8qH
R7CNzIvgU7lm4kfkZdo+F+NIZZHFmbpnGjd+a7rEgfA2xtEWTNWEehtG/B6vqEmtrkC3zlAKQbIl
uQAPVg9xbDX6GC2te7xj9BbHjSw9dDAzYUgHUFFuUyMQj5XZLoszy1q5DwqZyDs9uX24NtuRZ5OM
FR+shkpvXXGCiUdmpqxuEKa824TA3vWxlyKy77IOscTFDisBTudm43DT634pPpNJ33m54ettPZZc
uq7nGc6XXfYzfP9g+fLLRx/Zn/hcAGNn16v4FkOLYcIqyet8Xotc8eo0BfminyosguDCDlQFMX/H
nkqKSXLbWu57BGqTmDxuTMiGm9Igz2uVmkML+xO5trOdVIs8ij/DVeYbsYHAfVvqZHJQHmHDMW5Q
+O0AXHg56wJS8ctIBgd52V02XZxem/IqpszNruoGueh9yGmxl5VpnVsRt8+YPvrtCgV+ap/qMBbD
Fa6eUBGmLmjhrKIH3jc2t3VhZE/f8yL37vQgYeu0OPTmT6NfxvIAC7Z8w0Vk2UPIqUs29AGhs00R
Gcldg3Pqk2FG5a4cm5iu3mWbm7oxuYCByyuohpm3ARuwsTcoPJfjKLHFY5cZKt4WdsVrMpMVK45u
VVvtj5INeTqFFktqi4CBNZJ58OZ2MOnUlkNmbK+sbrBJ4RVFrzhpweEpvdvsaydQhxkTZfppFn1n
vaJWmhbg2QoUYgibXwVsuGhcRkSox8ZpILcazOHJSVCqv9FTAEdMyXYVBvJAWIryDvO4aNegGUvg
ItJm65vK1+610cPD2iZtVaqrGLupZB16skweqETkq4ksEUgySKUCTZIj7J9RhS2nwNTeF/C20y9W
PTuhWqGxyKfPDSnrgl+GrmObEMsen4yoGb8lsWkoLH6knx/J9bA+aWlE876DGp1u03lgkZJDlzl3
Oi9m71z6zcK/bpTpk8WdgC4BUI7MaKCLo7QMq3QhigYle4eUpORoR3cbVaCz2M9hy+rPXR0HmymC
W7aOGtjOTzBirIcMjIo82i4Vj6z1Ut5VosLZebAbgclJmcBb18MzLlZjCOqYq+CzB0EbZBLJqouC
psBrr41w3+VwZ0VviU3hadI4TPo6dfq8vg66JnHuEBsU/jHSC40w1dqIb/LOaMYNWWbsGVRjQ39T
FBGfv8M2ZieTME9QM5rmcWqBWWH+o0rFyTMJfs+E+x8k5W+QFAKNlmb+vx+Qn3+M/+sZlc2vQMrP
H/qJpATWb0y/0TuT/gtBGJbOfyIpgfgt8E0bqSGdOIM/n4bk/yEpHkgKsAsoS0Cn5S9G7sia++Sf
/3BNRuTkIwiLfN+FCef9O0jKh54IKh6slwBoZmmfgdM/AAGW8lvit+P6CJUdG5+8ir1bpxub81yM
f5cYzMT/1/7x/VoAPyb3gmyUd3To185GSTq8NrSqYwBr7ExQsXXOBkc8AuaG1207i+0vj+Jf4DIf
OqnleuAxNk7ZKIQFB+AfO6nOIOWhAdA/BkRJU0+aWMCvMk2T3mvXOYIS+M4Wvqb1MPqp/fDXF/8A
RiwXBxogJAF5O536R0+B1jClZmZWHeeu719LYjh9tH8qvAYY1hcdzYKDzfy7r/wvbrHH3aJBpyj7
c9Z0L/usG8OgPHalpe8YXfevCPzZJgmF13exOf3bFwQHx6SBReQLkzpx+UC/dKsUqrqxUaEfEoPg
PxL+ws2U9AJinGN8xa7Nf/7r2/oRa3N5gWCNhBBOKI6FHX4AeSZpkeoSLZLmWrf5avAjCibm44BP
IcFH5ZoJvAUZkXkEzibWpSUA/pEeKhjXCX1PtWgeg0s/Mb5Zdcob0GoymL+2tNBfJjv8m1WAXdHH
RR942Ifz7rs8TV72D5+3YioaZ2U/HOj0Y/fBKG0vupJxYeIwV7fhBmsCazwh95wgSbxXiLyD08WA
JXnAG8H3T6nEirlEEvISox72V4lfsJYwgMfBeQ6tM/r0kkGmaXPGvVebpc34DwmPR1sx2DKmlSeM
klbbnsNd42nrDJXS6LZDYNZXZJJoRpG+votolIvVDLznfQuhtU4YEs5aUdO2FFY0CfrOZ5fwN7ik
5OKQmcp4yopEYCez0NmPXZQtGVOBBIerVzamDdYPVqnm0LXSNNM3vSuU+0lX03hdmQmtkO+BPSjh
ulTTy0YAIMB7qpXUd8bYE1aYtwhsddQ2z0NmN89zZzpH8oCoDLVSzXNYOuqO3gqffdHObF8apcA2
szrvBemkvoBNUaiXKmqenaTXF6M1rAevH8IN/QNFv+CYPlaT0M8+jNFh7bsWMngZefoyuGTUbZoc
ThAWxVyQgiZ6tNGLAAiEo/dSDNzHcFbct861HgbBQ6OIEI9jO3svPnX1JY2l2KJH9ZjS1Smlu9BU
viuJdd/l97WaZDG1buKklOVprsmezGpAYtfjy9oThtV7OSq6AAPReHISQZSWR6zD2pLIOfI/hm2P
ZP8pQYjzSLYm2GyfD5R45eSyTlTluy+1DJtnYuF5+dtSXIupW2oYlDcrl2oog/rdGGsX5epVBwkV
Q8qm1nfDQJ+4UT6+VMgsZPOsNX3o+veyXhGDEEM7sBxUJhlVHkYAfNcRXu8qjOvu8H7/Xd17aC9D
F/VJAK08NBK5bgkbOL//G+jp1bqczIx9Y04OBt/1UxL0ajPGQuwo71jAyfJ6+H0+NgcU6FF0BS2d
wEMlR9w4Wg1RCzDY6rBHh8YIvboIzezcI/AFLwlJaNT3jV+ZUJmjWkdqR1M9rSLH4AcADSzzOFp9
wCQsRtmWnCSNs7GfzCEbNy1u+dEF8qxXrBI0hQ1kG6COaxtDsWewxfFVIXFVzB/lnN6Nk2GPT5Lb
n9ByVAosDi/z1WzmjD1Dhqu1ib0X5soe91k+NE6UYKs4MRmtxIQLdrHG110fR6d1d4zHnLOHI8da
qfEQiUlf9XGtH3zsMNdJE8FWx2aVRozWGyam9UWadrtpcERe9SD2t4af9Aw9W4DNPlLe1x73Ppf1
JUdChkSqrxQeJQc3rONyNZh2jRSwns9QueJXKmrr7EOpPpHj558bsxIMMWZ3uraqseSBawMdxIxO
d181c/8qUrhmG1Sb5NuxuMUJBpCuNijCsGwBMY8eHUKUsTI03M9EjxhrAhQIgkSCzASQWON2dNiy
rcBh0SH5YUlNuSdfE4s/rNiX9YVjjrVMXmmSHnwj4pSeu3QPlNk8ewR+P5ZTglYpiMPSW3lK6cus
ExhiSMDOjWs1z5NciLMYlL9omr7HzPPZMGs7f8iQPD1lHX7lazF52NybsHzTwHGOYSPQGwoRoYwa
w/rBhwI/p1m1wXrNjXeWU4beCczIFE+zbKyvZWcY83GGEhseiQCfHahVjdQ7SFxdfvJtx/k2x8rz
t0jBTv8l0+5klhzBmR/IEG3/f6TaOEQH93gM5QFa0vHoOYOhNg6Cm/Wvmu3Krm41Wsxhh1He40fx
tjvZLZLSwvV+irerAKoaCnf+fcOJ1X3GSdgGaA3HtMOMt4nq3RzWabGy43xw0XDkxnVZpAx9gzJq
VjMGPV+mIKwPqVuFt0HimJAO+nQfWE2X09ZH8rnWIbVI03vhtQO4s84txWPFiLjbpgW8+y0S6bg7
d6GcjrRu4RmPHI4FJK8wuwufvrLIxLUXYT29yv2ZRbMMAS+S3n+DY92ylIa4SjYxmb9nsj3YS1sf
C8ZVJvg9CjX13u8TcS1HHs26YMiOLGTI+ExBiFlrCu8DaCWvWILaicW1XzRpuYltxh0FAtcD2crs
g8qLiRHGsSO8RuxPWgwuN6CsHCblmtGnvoMgz7tEm17sg4lzvO64sEM47ss8ZWz471sg43KaXQwP
l6VPlGVyR6IXqhRUce71OAwmqI9HT9r1hnytHGTbQJ4dJ789t97Le0ifhJpNd+ilBb1fW4NJFFiF
UDFM9DX73z+WRfpRsW+TjEoiMgyOrwBvlKu26LqDmhiL9Yrat0SFs7XmAtjBHm2/An2cSlff4Dpr
O2uzE/XzaLdNcmt7ik/NmJ/vOqqZS1ZdOgUXZhWF5LTw8XAt8VSOW0hFY2gqPJIJzPRPQ46bwxpt
6nQfGbX37CcWGyvslex6bDqNpRHG/X+W67uABMArmPDfF7VhnpohMd76rhWYJIyAy3xmqpx3wMzW
I8siLDpO8lb01gMyFY6nuNMAvh16dHglOl3uKJIJzF+8iWN9aEJGkmXHVnUfLU80y3ATmck+B/ZD
QH/Gi5muobdnE9MBTzLD3RahF5mPFhwcz+U+UVrew/83hnvl4/3ZrNMxiZPwUuQYRXNUNQj2UWXF
7QQcnKdGbCFPp1qO94TXAIdalBuFCVMwxSYjX8NqS4mPBksbfcTyyC+pQQI7MU85OiYId71i7pqQ
ZYWdyUbDLjoV2dzc8PjbSx2ys+QqMb5oQ6QnA1U6mHbC0UPSxSEGssLEIDB2xTB6fI/W31QmqjOG
qih0ya3FhuxTHLKlO1087CwzZqRD/Mqq04TOQ4uOCd4orEuFg1FNtnffrZC3pbg2U5H0fpm/4Y/s
7UJVRwcx1wAVfavQn9fg+OwKb1XXvhnFdCu0Ox5Z1xQGSO9vRd+Yt145qY0yy7Uvp/KgBwhl1MbR
vUbpuMs4RDdZmyD6xajRNYFVtD1Un3janMuVLk6cfOXeLXMiSg2nJyXV38aiuBmY+q8cbtWtOTXx
58bwh+eutp0zJLpl4hKbFJC63ReiwCRXobeyLlR+yLlQKL15fuSdHFR2aYp8TGRouCtUV1F4MLL5
h9f6PBAXoQYDBQ+jFvwLTXihVASqWRucwHI1DWrZQRLwb2xzBnZDBj1XQ2sbRzwg2uZG5gWLtEzY
bVK/Y0XOKuLZRwS1y7spJ7NtrSi7N3/dRi1dxy+jXDzX6KMCxwNYsIAgPrb90KsywYnXHBrvvehX
qHhW3VL4/vV1/tT9cKEl48vyaPtxvvvQHmJw1A9Z3TeHovLZjAcm6Q9Qh5i0uNqqr/xFkX163w7/
+rp/av2XL2guCVl0ptjgfei6aMkLJ6t1c9BZ4b/0BmEYpdQA/yMpbd22Lqvp4vsJe3Grlir3r6++
DJI/3F2YFXTFvOB8iI/Ge5PMQE/wVTiQNEADgruI/RAuu272Plfp44Y932w62pKl8iYCiM39/SP8
D2L3N4idw1gTjOu/R+wefugX+Stc9/MnfsJ1wvnNI1ISZZ/w4fOweP4TrrNM/zdYJcBJEEeAdRbJ
xk+47l22AlMqsH13gZwE78FPuM72fgvBRVxW/zvwRdrp//mP7/p/xz/qnxCW/PDnX7M3LbgAf1xc
gAmea0MKAlNgqMi1+PtfEBcEdIZq65r+ZdEBKoNhAtKM7+9aQMD0dpsY0Kl1WeeXYAxvJJ3JF19l
7X1T43xsdvI0ED6MuXEw37yrBKcI125I7nB2sAI3XnhJYSv6tdnSKUCJX3meHYN5B3hTf3LdNLeR
gFSYVx9nq2McJ1xcoD5jBGJTjhv5XDNNyfumuQmbzgywuVEIkvUqF9ikuCS75Rl6gDmG879qxq5r
P5Mv05NWDieksE6J0D7cETsS/TZITFfuksK1m1PvximuNhkhDOZimDkBZaWoDa1TUE/2o8vcFjho
rq0aF3U30uGeCL3JOw4pTlgR/OY0yB6iyWCgS9eRK9wKa69+yaqIsEw/A/afbcn8aQu/xlT+OpTM
fe+RX2YNJhyFK/c4BaPXxVJPrgdfJFcR0dg0gYyB5U6Z0Dgx7c0mUorr7FCS8P6sSculFqqc/pAh
bN+O4LnPE+LHVejEySGV6X1c4AbC8CAjKaGqD5k9PmKf5+yzfoRKTxrfgVF5MnPUxskT/jcMhCaV
Hikyb6DJMAAehicZl0xMC8nZpROmtkoweYn9772ORurh8Rmjb7lGOr/OtYNqOX+ElUZCk7CyExZa
38gA7rZOlA/3czhIpr5GuR+4pYZT4bUSELNMqxnsQrva4+l5UXP66Bf2W12k/dUsa/I68vg8Jy3O
P0P/XJfyBE21OuREEm6C1IGbjOGanBr/qmlIqcJj/Q7nq3qV2/ljg6vPBrerGhcf9cNPK/+m9Ofo
bhQ1EBcaw5UYBjKgnGhDYkC+d5Vroa9Rtzbm/IRjoKyNcSlknKWSaxTv3U3Yj/Y2wOyawAFCXio9
eytOaLQcsg2/pYOtoLEhoA9puk+6m6Zt03rGJV6sEKos/hE5UX3rGf2916eaaBFm9eDG6ZI7mR6q
3Pcxhjb9lVNPuHFW3rDrQ889si8kuw7m7I5YCnftJYZAjTH+qL28PPYJvhIRe8cqj8kFWWNP+q12
3JpGgmFQHANRQIiXm7pGXCWrflp7SAJWnqmYURmSaZWtHyyvwsa+yB+NIjrOMwhDKRsyO3vjyYPr
QC6bzk5J62EQ37jpG57s3ddhDtaZ1a+yHGkXuFOLZT7cEFTU+MJc+bRCQD0I7zeOOxtviHXwNFMc
6B7Z86EZb7pMzdNiPWYc7NwcLqgW6DsLN2/uKCrKCpE4pv0NjEgUKSl+F0EUyLVFIf8AAaZf96Y1
x/sU98BTNcQd2KxDjsmGhZXPq2jsv5M/TncRKXUHc94C9GBZxEIV1gqBzvSKsZ1pbuPAnU5Dn1YH
ux+nUewhoaRkLk/+YlTEpyXSUJIub7XtiDQfE9Cdr4cheUMXL3jXRrDBFRFYzXhGKiifJepjZS/j
4HlnqdK8SipRkucTNuukNew9uAjfLB/BjzMcS7BEf8n0aIPjxMYW4zUcCJp5Ob9bZxuJmeYqBpix
w/kLTGvxGKRo7YvMeOGVerIxKwFuymtq2R4Tr9Y942GYb2CfZ1eVgYOSDPGDspv0sUT0Xq8QdKU3
djcpi8Z0djYU39YdHcjnFnMisq2QTl43blGfLAGlJ3DUtRrS5oJU3bin1A1ebNrBTZwLCslSdHi5
xAmvMZan9jaqK1Jpi8nE2Wiqtxjp4K+AkvoMu6DGvz+tdrRY075b3tqcQMBP5axgT7R0SAYTbxpS
dVckLqPXSR5Gy0wYSvYk+LbhHEK48StYR9NzNdTegYxL8b2z5SccQeF24DyAP0nYf/ERkTP6N42t
7aijW+Arlg+WA4hnNf1bVIMBkNtmXE2Dl9BHDBYNCoMhUEk4qHQmpDZZ7AfhdE7xcr+dDVPdTCls
tWoaAEMqDa8eu0qMCux3dDTeJwI7D4xtgV8zTHJxO9gDUHfswf0N3UewniH/ERpGao4JgnXsc0Ti
PjYXiz7mMoSIzfKwxoSF5gLPkFocWq33BCSJI1BVtK4tzfDdF+X3CTvZrbl0H4NlGJtG5u0G9h3V
vAht+SDSTGwQ20wbpCEC2mx7FIZgIm00b7oNPoO91dtZjMPOlE26HicB8OsuM/ZKJ7thKPXJyNtX
lc83RR8NV5Zm2D0jvFkXdlDdMnowrwlTqbeVOWW7Me3N48zA5mB4AWFP8CJAhAlqCWM6cwPWJS6a
GWBOmbPftT4eaeCjFY02iG3/1Sa444oM8mhlTah2IgcJWDNl1jVrAFQ6dZP1mOdvg1+InW7mr5S0
i92IYC/LJi+6gbsV2SuVsfXjQfYNWcC4xkG3u4tyO1onKL7Oo4v7e1Ig8fDN+Lm2vLdGtD/cPi12
hUfBoLT7VGL4ty5zCUoW8qvmzkWhNuj+DRtILB5klmO8gNYpQH1xR1pB9knYdXM0Q3u+Zk7AbQhy
+IERDC7F28UupZ7CqebA6J37NPUxa4r1wFAwZF/30+KbXWEdUdpTfRzckrgpFeBsSYr7jpq+vCYS
cdwShOSulTN9k9g7rJTtB6tR8BlGfJa2pmjDR1DZ+S53ZM0NncGJVkkw4PE35g0fX/V59sxrn/c3
C+Dz0AYePwtt974bMHorNISMQsSfBoiCdx75AM9B5t/T6eBCVsRnl2b6ALAeO2udZM3WkxE3OkkT
9zMqJ/QzHuI67JC37hxh99vKAI+PQY0T7s8Yf6S+Ip8uru1Xr9KVt5l4ziu7sepbhWDlYM46OMBQ
C7+OuTSfB1N/x5+/v51Nx8i2SJLUIYOrQbPuK/AinAvZWZteEV8xrYWtBLD24uzfmOWlReF/GaFS
mFhqKYMSw4af6rmyeJMdUoHlRY15pvRxEIeDzt83jeXxylR+T0yIFDOUIJtjfoqde7wTcM3qzWuM
47MvkmHktypuT8WYoGDO6gRWYOy8AhHiiMcw97sVZ0a5nplaotRLB/TdsKUxo8qTbNjAwNPfzSIs
Nk09yHusgdpjxOZ5A3BS7EXl381oNCM0jAGIhF3rA6aNGcvZV8FrFAfMJmwZAFt46ZOHnQaE4tRD
2DUWWy8llbAhuwr7Elwwod859aVDNJXihWjKs0bzDd4SwbEP+maIN3MX4pyktJxuqzCFuGYRMBQF
Y7+ziFXYEkwh933nG/sM4WeJb2uRPrGb5U8cccOXAvbHfZ710cHMgvRoeiMVb9T6p7ZSRkbGL8Zl
xC2MxWNsp9l0RW5cuRJz0p2EAWVzlZgIHJEjiZPddmqd4DKar7RbNWAhMSFqpuw+9bPun8xwJvGv
wWgulLW4gjvc37ox1rS143U571+dkf4DnpSXHs0s1dX8KLoe5Jb2QY4PMIpt8X/ZO7PluI1si34R
HEAiMb3WTLJYZJEUJeoFQYkS5ikxJfD1d6HobktyXzn6Pt/oCLcsS6wBQObJc/ZeG1yxhPE8B7Xt
rmReT8M2SXkebojtQHDpw7T4QCL47H6KMiOZN4Ov2VkJNAh4EJXuaBe6OtrKTGIEpSP6gujONShW
+sd8Lhl/weExbvNSJy9h4ZQ7ha+axJZZ51cgzWhH+2kEZUtmhr9qi7H4aIY6PA/80YMuWF5VETyi
O4YPVDb9l7Ioq40Re+nO7eboBq4XE/xyaOh0FUPxZKG+XDGBEvuRadMR9EezmwqM9FXU5OvamHNM
e6p2diMDlDNtdsCPzhyCRR+SbDukVn8sSkTuEozcgalddC+YDU0PmGhVdUfGgsaABmOocbM1unZB
sVDUcTBhQu57IRBZUW4mfg9GBxWbfKy6yM1oD/dT5XsQtdIgLoLVmE4DREuYq/TVgEvncw2v1G5j
1lHt55rSybUPXew6Hxc/cb+ZRzhKB5XxLH5BYhAiy0/D6JgMJL+suIVVuhV+NG7QhNHkImwWpX8M
jvw4dEZ96NvAetBNx1nAaoz9DE91M3STcQ03qr4i1iPdoF9NjnXqJOD5e+97oSr59Z12ppDkp3td
1E9tRm7ji2UtulwZjLcdzyOarXl2cO/5/rfKr6OD2xeU4FaHn7RJlPc8p6O5xdQ8yy1xYtmuFe38
alJY34wMz1dQCE6VV5v7ih97faGo1XVSf4q1xCg4Ws71XCfjWhSy3jhMN2m3E+u+jTLwbBeomokI
dK9xtq6VSquTBGa7sXmPH1qqyG2ndbDGNJ1uI/Y6ivNm2mqhum2fe1dGXQ4bGOLDQxclwU5lpnh1
pJaHIlP1KsxYmfKK6FIvqeJ9EtngNKtlRpIU7kJJiscveWAM+1xI8LlxAB1O3S0eW4YDYNtqIaZD
Y+UNpRSc6YwjLY1x2sZb7hvgdoF2ts2Ucb7hpiRBLE3i7QgHbRvkbOPEo2WfW2r6VRV4xcFIQpuo
KHaScnRLJJd5164N05ggrCNqJYK2IDPeM+4uODgIfoce8d2tzvpy7UQlUvELHC6f4vgb7Cx5G4aE
XG7qBqZyZfDstiz8PeiHKccIPStECyrrBjadcTrHnRmcBo11NS0T95C5ibMVOSM5ExTDdWJa9z7O
5RWuTF3Ruo9ekT+nhIFhfaawa/xTZjQE+BVmtrXyUELWDOyXCHg9BtFlpFwglXgx6valsQm6iAd/
L5FDwH6thzci7toD3ov5iiiCnO+vB2YwoBaAkBfl6ymz6T54kbtx5xzpgB1vB67WiubzJ0RGN6SH
bnDnvJVp/qldIHe56M1qi4ibObC27S2uOUFiWBBep0mLc6bVSAoj011TM1vm2ihpVW6X2UUfSd0c
KzctuVtab2+hxl0LJZNjDvjxnv4D7PBe6t7fDrU5nNqOehs1BoTupf2j/ba+Cpom384MaA4RHNpv
Y8kRLe3S4VDIjnwwoxHntPPoCNTqaxfr7hpRJJEuDBSv6WttwB/WDENd5iPCyK6FVwznC44vSpov
nNcoxaYS9pic0+Kq7GsijyOk8x+HLiRGYBhvbcS5z5RST4lBzKenOu8mdpmONnqmcKziq3Ccmxbg
hqHAXvafA6u5HVFfr+JUPBOxhkVokMzDccOs0U/4H2PNFMJesu4AJQ5r0YfOExlJTH7nTADpio/k
2b8AiGsPUxs/Ktf6Dl2I+g9qBhYLlPFxJVCBWETHD6V8g0egNmak7E1tFM+aWPLvdQ2ccheRQNSt
6HpQfIMChAnlFg/+1IErq0CObLraDz8PZp8xIhwGRYNiGh9IppgrnMphSNuJNNud08opofgvLM44
2tlnyFseShYsbDi2g9M1HUKPzAiMPgZPQrF1zUxdw3dcjTCo4CAQ4Mulqr1bhMP13YD9AxVNZiy6
miyxkAEwq9sORMi1296M6xNtfv+KX/CfstL/Ttbqg0wrFg8/QThSm9n15LC5Yuv9GmZ13+wzRLZb
ZiuE6HnMupxcXxPxBrDatHAAp+U6x0y/6sXSC6zLaD0FPX4Ty12G88DLiI1w9sKhEn5nJ4LyRrGQ
Vv3BG5rPkT9fa274NbMNE1i0cQtfjlonZ6iTNt51DSVi9xdiEYKkXjUBotuSUn9NZSpghTVHFQ3n
IGXqW2DB6GGpbQNdnhtZE55WTB48cVAi3r8BjN5cGHejkB8TS7Y3XWjUGyaCZBPmdrmPzTraJhXM
BJ1yOFNO36IAjEw6FyCFzcx5+wvSiH0hQX4yfc4iwJKC6F4SdBlz4YT5EjqD9Tj6TrZx9TSq9YXd
6LTe8MjaJ1au6wDmw4p3rRqaUYQ6rjFNy1v4fAZ9FlIbt8okEzFwy1t8O8iMwYFi+kxGcCUeCAL8
PWacXTfsjxYjtF2WTPVra0E8dnxpF5vMmOevmBpDvbamzHit3ELdeWZuHFI2PLWyPU8ffMLDjl7G
EckLmAhu0GBdKxQMWxuC6RfqLB6tqMYDl1r+3YUfOXdx/9VI3O/vDMkgNtrrhjb0edaw+52EDMH1
XxxJIWI5n5T2K+Q/3r85kkFnQ7OYUZNbF5ikm4G4rEVS4oacIacmtYg5L4TGiZBUZ3jHSibh8DRF
zgcqhD/JkkxKuwPPwYSnELzkGPjPI5yaFTAF8RiRJrGGPnDnW234WuiS+Tv8nPU7bzJfJoA3o6Co
OV6gk003QI6QQad3F/KkShO3v5Yl68/K7cw63f8NQpmRT78qOdxQ3o1VTRwUPq5nVcvmBvY4kvW4
8gLy4chA3E91Gq4n1gUUZJqQnDFxTBLhybgj3aGfP/ZZl/8v2EqPu6dZm/XY7Qk0TI5zXWPIYcMi
KxoVAxXTNEJXEB2jVdUtlRCrzMsPPMusT7tDTerH6keoZWTkw1r6tn50+rqj+WRmtctIEoVELYzg
OUcQ+ObE4Og2ZRRGmlHzND1MMAGIredB274TLmEm4V4GyMTM/CfMJSOC82RQ1s+tyzg+c7uNU/fj
PkrC5gyrXHxMSfjUG0eyYM/Kse5boqTJvfgLhMlaVt3nszF8fIdhkibWE1cb+LdqMrqPKNLMk1mM
014QdhRweG3tc+v4HiSS/4DJ7Fp/eBTCphnKSJintCpZVleF45eCmjGON3+nZdoqiNITHX4ESn+j
Zaq6AAzfqSjd6Ky9n6NWpit3qsV2Ecc9QV+IrlMoWesyj6fvF5JmaLUUarPboeekwXSKA6i8IP+S
5mPvOtVuNNh1IyJD2OzHasNhh3QZ4i32tYFGAolCcaMwKV4No9lt8R1kx5r0lpbK3jKP1VyNH4iU
7vQKMWWxiY1Rrl0lLwhj41xnTX1yptE/FLEFynCYgee0JvarGtMh0s+xu72wOenewhYnqfTJpL47
qqoZdz1RUQfamR5dGiN+mOIUaPpC6dTMMtZR3Ra3fRd8NQbL2rI4hQc3dgjEXpCdwcCjYaci3iaN
fVXFln9fahch2+QM167hzePKDfON7Dh19FSMa/rN6rrFi3d7IXniP/8CbsLaDtgtdqk/vUa4y9ZC
Mo6FO0Fb0QoLemVqejYSm9QqBSz4Qvo0fOnvY9SR6+Ev3GeVlfigA9yksa2tjWuBYuqcilrWnGGb
5HJac1SYD5PSLnIfq+3vfa+iD2wFeb75gQI6xWw2Kd7HjH7WkB0Nr8HIwfiGHuufOFAr81FUo5xz
spnfN8Nza+vpbiQHeSWG7DloxSc7YrF2jHKbSHtezK2vQYk8BbYnZF0EIkjnoIaiuap2wsrkYZTI
F6IUDSmoIyCcBIQBulpF0Xxng61e5WnzEXtseu9GPekkxJE3TbcfZjl8/jdglDm8uTNnKmQ4oT9Q
Rosgbc5j35z7SuQEX1U+W7u1HATj3LjzwVgBVRbxVVOa4igH400aXn8Lg5kYC9Z/vCgLhVQG8lM3
4jomtuQ41LB+VP4nSuH/x9b/NLbG0M6k+X8fWz8nKkp+IXbY73/pX0YT5w+sJPwW8+FlOG0xOP4T
2eHbfzDMlh5QzwvLw/5hch38wb3EKNlEnAE24WcWIz8N24SHgUEI4f5Xk2tsKz8PrpmABx7VBz+S
d8Ew/FdNxuBWVTVF1sEnrytH+F35a0UkLKfmqSFcB4RvGX6eSh/ZLf3N+IPJCW+NqKS6gTvQn+zK
TbAlM5FwvNAKt8pz/Pt4ikgTc8v8qSonsBsYMa6asHuCGq4JdeubV5N1UAH35Qv+gPKkfBYdYvea
sDjEocJQb05YVjd0EIOjnLTz+u671IIzml2zgq2Y7QXPnVsZ3zLt6Q+ZXRX6G1DMwEvR5svxRD2w
VQUG0UinNyYgQX/vDmH5BDs76lISf3p56jthWRsRV8aTIZ26wxVdDlv0vqCNGhpobZE0cuMJW58s
pWkeZrH/Oc9yX9y03eDztQChO1h6jI5pbXFIzFwg2KawKzJMxtHZWY3JcL0F/VTM5U1EMNvK8We5
cZTMPin8/VvHCuXG8FzgQrTzn2HaTQ9F5VjRlWwRJlV1Ud8zzzK9PRQleWXqwXghmYH5bKv1h9hs
Y4BwaS5XOOUa77luE0B/QGkx7s1qpulH6AGuhjCIFpfzLDtxRygCRjeDHNMntWSx9DVDt5Wbj/WL
jKR/dAPLetLjogEWmbVoL6vAegoyh6PyJEbrKUoguUGrXnqKnZ2jy1RVR764bXNQ9rqW4bldl5yf
fMpytvuYRjxq+QbF38isBpskULj15Ze5lSL4DTlSuqhGgQWDcyj4OyRgZ96xLgkjF+QZFWun4+ya
AqFL1k6PIrDDZ0z9EkcIDSPtILWvMoRDF8iI1SOxWykEb5D4Fh8A1E8+RoHqaz96Vb+AGwL7CveB
81prcMJ7LLzUKEq3801Ay5LPWSCEEpGFPDGVMx/IW74U2rEyvekyFJbXDGt4A6PV0Pv0opRv92Jp
yMcCZWIUDvjGnUnZKVRDL4dt6FWuOBEbgue97UIzuurqAcEjVJbuDUQxUuxs8TZLvfxYVPboQ3P6
uc26MsoBw6ZLuwcTwhKhs9Lu8uH9uVssqgKX5VqNmt+ZG8++km6BqVgv4Jd5kWWzNWEmMEAxEHsm
zHs/GVwElbwi6UKZ3g2Ga18RosW9+S67SvFMP4/0f/y1LR00GHIUA/5OZclXc6LV+W5NcE2kUo1A
brFiFqnwnqeOPEdpT/iP3cTVVWInql0od6h6G7EACSI752NNkAeOMW3lj5Qhk/F8eZdgz/rokE9Q
/NY2IlTatLXLXWZg7DsFKmdQlmctTpbWHbnOCBOa+bEbKQh2JE5xSQXjS74TUmnbUzcF1U3gttXN
pCr+PZgWVwUlFJ1Yg4TxfVYZ3BBB0SD9G3NWKC9tQE8WpjXtEkSz32lqckemrrHcU9bSlI+A/xT7
iqENjiqr0DhEaghd2su6cdMFYj60szs+QNnQ9wOW/hebO43pZUVIAvcpsaWrQAIx6fx+zfnFn1aO
wK+w4nwYbPuiZHQ0qdY7uaYX3lyU0VxMGrW27VkPKckXiGMVrg8OHS11V4qTYuAu3qc0unezbQkk
PZFz7pOu/ZoatkVxglHxGQmlfvRdxi6eUNzYAvgZH4Yv4Oia0uDTMWq0keg4JfGyRBHYG8Dsi+Ob
BIv5oGGhMFQOvK9k02PAt8jRIAAwHBELijaTV1GUyiv74lqZFqW/8jxWEHL/Bl6wGO9o4cqtHCIR
bY3OHkF1hpweCkVoqa3R1FS5H8draGfRuaT4eciHiq7ykOG5WXlZLGDWzt4OgMH0TXqFfR2i2j6k
g2+9wQWZn/2o194OL0d6bOgqfLMbPT71jjNd1QUyDjCLzIIT4wOmbvUcC9luyiajtZAHPq4FottX
ZDbnGM2QbuT0MXamX0zbMjLnb8kUZTwBI4hA3xk94LiA3yRHotB+mTKgtmSWeViQhGdd9bPKbgtH
YCcfibRAKNphBE/C2TuSh3VSriq+gfqK5RbZ4ZCv9NRM15wd/FM+Gg8gDqE1Ilkkmyvzh9Y65hS5
zXmWdnw1mGgr0DDDC6YDjZyqvh17xAOZ0Yf35aBYTSYPIYxR9w8cTyhxYSmvu6BF5IF6wD7WKOfF
hxD5+zNRPeoRovB97AzNwyQQPI5Raz0AnPAeS2C1QGR059810jcPCblnnIdi8xOsAdiJof80R8L9
2LdLWph2KrUncpAQHa5bXh8YBS0P/njQdVDQBhb3bYvjzGU8gqjZjMlUq2Y6tmHTmeQ/EhaiEfVt
c5JGyB+xFfQ7IKX1Nh9NhkJwT8bPYa0L0uNk76Q7s2DWTpRwnvdrw5IEndhNtfa12T0J1GcviaBT
xVZom3d9Kjm5mkZ9NbjYXTjdpZ9RZNc3Y973p06Yn0fkNbc1qRgc5Uddu2uvDLsjcIl0M2BvfJwC
Q95MOrXOhKp23wep1ecpwBn4qjszH85ogsPoplNzdkWcHD2YRn2CVRue49hCE0UIA8oTi3q8I5ow
h4w+eC65WK1t3CnVudtW2Mx/J6/4RnytPja4WbYhhPUz8T/Di5+44SbCwH4f1IGDWWSMOAmWcdGs
TJRfJ88Is1szRJu2iel3nGUGytWTPTLsIgdiIF19zRmx/Jz04P2dqv4Q9jVCdVM9d2yJW7q58MFS
88US0VWKX+pokHT0aRw5HPHMTYrmWGuRkxPHeCJldGfjfbrtPXXASw900BMErJrgmiDd1DAHxhim
4uD51poGFKjbqBakhhI0dHKxs+zNJD4W+HYOIrc+hpzR4eK6iNdFJZlmdEvLjrOeVTM4aUWN20S7
ATtFwAg5kg2ZtpyqrV0gbfjKTNjssx9J995njvlYQTZioy9Rs2Pe6dbZrHeG1w23mMMdJAnRB9ds
OB4qjndYaOo1+STOLuiK4hH900DIF+XHTpRWsiG0ISV3bRG3cfx2mKrRpLgvtLJ3GTKAJ1Op4WZq
bfOjofiLgxtVt6xAwyHRLYko5E+e7c4kwqkkJGnTCeJ07WJuHmKnoPUDQXfc9hUmLhghlXXdQ2o9
o3QwNyp0r/wu9Y9VFk0fzDYP0ZgV/XPcx58YLdPlcyyfgkIP0YcBKQZDXc1kv2nta7cu9EGbTOsl
vOGd22PzoEuVjgQJFiY6Fd/rQd1iUnR4EgoCV2vtNGSw9eyOWETx6XhFvsfZ4j8zjjJWQ63VY5hW
3g7xfZhu2Q7Hg5+2yabJmdjTSF+ZIJQfYkRF7UqlIJtnFJ43lZwkuZvxtOR7ShorQmh7x9/Rtx7q
Rx+cqDO8pU3vfvfJbdsmmevMhxh4zVewsM0hAJe5zZfSqi5aIODD1KxmOlXVGk+ku2VaUTN6GlDJ
9H5/O5J7vwmnvFsDKBk2GBnFTZYWw2nGVWl/YH/LbjuiRcB2F4Eu7lPgO+s2c6oHxDqR+8DQzp7X
jkEc5ABmeuWXo/ySWcKMdvR/afYPJrVg5lrZXcQmGxGzdqQD3m6ROsIXT1ufzgJlwK3IMTCvysmO
PjGKYSw92wDKSY94iRZk+QxuBw8BHPMm66ej0zrOqSljULfMgYwNeqz+Gqx6d6OtZtqDwQCM7nTt
UzwWtBmbm9qf9aYJRAMdvmq/wisw9wB41bU1OOFeRf4zhdq481poGZ6S53RY6OzOkGWE1uoiymnr
zKO1S4gHnlbjhexe5SVNwkK48wO48/qLzgoMzix5ObJflL6kTzH/KHFFHTMEoKin0EDcG8E03xkx
Rj/GqInTf6FT8VST7JV5K5X0oMAwxLC4AclwMTXZ3kNl5R9r4vXimzJvvPBol+YrpKv6VjsUcuCf
IYhlEIW5zumUYWZOYxqJECXNj0nBr9S4UkxM7yuaKzucVCvMCWuEDh9x9VVraSs/8u4jUTf37H5X
pK4Xxnj44ST/HzgFv5r2F+M8TRYLU5a0JK6BnxXdAGiR20bUtZ5SEiMoJ1EyScXTPHntW6CsZP/7
13N+hT4EprQtfwH5eSZeYmeRmP8gIQdiC1mSkeqB+PKAjDVKd+jAzCQNKI64dfqvcW5KeYoGv7ev
lHLRJaxby4iLW1QouChQ1ARbtymlurtAggrDncl4FhYmu8X9P2QVBaCEg0nZViy+vci0Aw70spsf
BWZOtW10pg5J31NmIgZ4rZxh7B5byF3tbu4sa2QWtHg7Ps+cJzBF+ZoDW0RcIbV+xFkETpb1VOBg
eRnzqX3jlim/48YuH+2AriW2o2Xc6wqzfjHxsUHo52xkLGunyQHLMsLzbLR9uyNoXbX7iwFl4g+q
O1nVWOdUbMFFai2/ermchQu3sU6/vwhLt+NHj0hgeuApFiMOWmSaM79c9IwKOXQXxpAzLedlB5cp
flsLSu7V719o+UF/eyEcMJQBtP3Fr3eXrzjBNfjLDszbucS1j9KmKxuuz8WR2CaL+QSTMYeQmV32
H3gNf39137R9WA34H5ZYj18MQNAFLI9wNPRcaS2e3BGoCOSzifpx8UVqg1d1O49DgDEWHNt+/9Gt
XzCxMiBfQwoTM47l2cHfPvuYAmurQlUdWpLJUcWPUS9vPXgGT2XacmyWMNX5bTlV+KwvphxV9ov8
J/LyA2N46+nyhv6/vfmP7U3oNz9cu78hiT++tsSARV1V/mTNYaTJX/uzwWlZ7h8skigdHR/+DZSs
fzc4AWz8sTQWl64ni92/IDrBH6aJ7HVZX3nUHJuf9S+IjvOHIznlBJxWPcmq+1/hiH9eT0G9cHtb
gSVNpgr0UH99ludqbnqWE/TSQw5WkP21PyuoEe5Kj037+Ycv5j/sFj8/UZcXgwxK5qYZAC3/2+Id
OVqSF9vJc2xw9CdeSzxN3RA8ZwkyQYQBLHl4a+Qr8QHq8H94aZtW8cK0cflSf943EiOzdId86jwH
dMvKQNH6G6YRlz7lH35bpjk4PUxFy60NZ3okv3/5n/fJ5ZN7QtKi9kkI4sL9+vLCTqIySHP7nBcL
q8gnQ5IBatez9STV8nJ6aff8/jXFz0vIny/KrSKRW7qsIr/slWVdhn1UB+KMvZtlAyjBlcCi0uw8
zDDPFys7fHhevLd6thL8jt2bS290nxv4/9eNWzGIoWunD62hIATOMzZw+DYseUgJTOtmqEOUi8lc
0eeAKcAGrLEM2f9gSfzZiPn+MS6Nd8YDFsjsX1hIPkkCtC9icaZjyb3S5zTu8qUn57escnnCCqgX
/sLvv72fjZB/vmrA44FdhBcOfrlhaCR6qXaUdU4Xoz/yswQBaxl/N6Hnny8gJEfW1gmBOm3hiz32
96//9wfTo9BB6OOaC3fq10JnCAJyHTNtnd95LMsDg44FFsrwj/v5L3vN5bPaFrs6DQte0Pk1towU
va40zd46E16jHwzECtluSDAnIZ632zedSfkKmG55Ok26zLU38rAYqafv0wwJ43//wW1TslpawL3+
dtcKknyDxgzNc981PCTSC/PqiJTAXJC5WfB/eEjI+lqeS/7nUVj+vDBYdWomhj2IMz56UK9TTJ/4
ApW5IIZwttC4G+iRNkBPcwKhQHAVQ6BRFaWWMaJInKsbwwXhEdHfhQdqCtruGRktFzBRHA+gRsop
5Sljqq/H6yA2+3z3+6/s4sr9q1C6XEBPcP1MHKQ2dO1fHpE0j0IS5wPrHIYpc4yZavxwuW90V9Qv
ShXGOveZXJQTX+AFmBAlM6VbOwXNob6gi5JMwnyYxxlxmRWa7dsFQ/T79/kfVsHFlko9Rd3IMeWX
t2kgchhIzrDOzuzxhVy+ZqumQW6ZMFLgOvxTpbrsoD9UkLDG6fVQqAaLjRvv66+vWHSRSM1sas8j
nb0bxiPOa4imlH/YtLZ709b3ynZpeIdJSGVvDmlcrkb8K49Jn1F22eXUvdkVqKTUZAUwDR6CxGb8
AyumIo8CUlPLruGCiVrYHINHM31BwhnABK4Ec//TPDHL+f3X+F5h/3i92aw5dDCShPUsPQrUn2/a
2c8Cj1I0Olf8rXVAArrapJ6R3jV2jgCpxOwwQiofELYLB/rIOhlIod0FMeOHVc7PNtcTHci1SAW2
nwVXPcyR0R1it+0tWpURckai3Ggu4RmlBWLGowGAoIi6jelVlaIhOi1khoDIno0pTJ6MFLbRli0A
dDXenIoZTF2ee9LZbnwixI6i8KvTkNILxmSqYB7VgvQhILLZnVVN+Vcza60NtkzkL/QIiSqf9BC/
EWQzudfdFJMRCPu1umbmWtirxk7r+8aMgWchKXbDlaxaCBde7De02Dyjfu7LHBqSHXreI/FTMREf
KeFVtNNohqCviRQiCEIE1NrthP+lMdC40eNvu+ww67nDxNtD0boScC84r3M6OYqop9yuh/DaBH/+
OI0Dk0yPlr06GyPGbhgqXengWREZrh+oVfW9FxU5il4AweGGbN7gOYp7tt2Me8SjSxKt3AojMJle
OGMpDYKtZ3WMiZhrOq+4/ygTLlR+SsBl3LuQqohsWogrXgu7JLSRj/lkaaJJpj/nHRHAZj07s4Wc
pWYw3ZtefW1HZNjcunbVHA0d+NYumqqCuKI60f4VtuT4BA+t++rjDmXeIWKTRiQRYoFdRCclpNqp
AFVSw9lqNM35k9X6ybXA27DxqQO+TGTkcvxbKL/gdnaCaIvPRdA6nyrbcMDX1PEbN4r+FvVhuoyN
o3Jj9lyedUz2Fc0ZEhgKyxvW3FiEsTAQKLXGjWcY08onqEE2SIy1k0T1k+H4SXYzlD7TlOuyzIPi
yRvCygy4AXISuzZw1KFAgpIixgO9HWiRUPD/FkgYB62/TAwrXiWED7nFxs+soP5kxDS+ebtZipiE
SUPh7wAfUvzMoCSwFvFNl8ZQ3ZiRTzHECk5sgT8ueGVmwGQPR2H+AbAUV2wiWPeEOpEp2OAtXB6m
MVCZJu7KVQw0MtvJsuFnIOauXwLVcmVda+ai0l411qap/M0YAHpF7Mvkvs0GluxEYqPyGF6u5wkW
WsjEZBUlJvUqsDBWowKO24XESBuxfWvp+FzR2mThkaxDnizAGCpgWjQvY0aRRWHz46dmGfBy4gCd
5zG97Bc4RzYV1U1WZuKpMZdRNQ4z+irdwPrMckYzM5dBEW0sq+N3ohml+QrMtnV6nyTOxLRlO9/h
y1GCnRqUmc2foAmRnpDbscRcWEPvADev0g/CcdnUE4MV9bJGUsP5x9BhE70MF8PKb9+aYPkqLzPp
tu355eXdMtpgPGk3Ut9XlJ1kVznJdE/6G7/MclTGdwzpGLBGkJ97+jCny9l4Wkbx+MOC7UU00BPk
/WznqXhKQ6HvIetBIbrQuybBd28Vy1yZR5JXyuKhfcOBr5kr8iv0WjRnGGEjL8gGKH052KFgKY/q
hUd0gTWnGczutU7a6eFSKMxZA5XowvEQmvo+bXMu7UIL1cJP3xgDMBpLFnpXBXTzZMY80m4VmqcW
t3R15Dbi2tFyp3ivGjaeFkTdBfFnpiZFeFU1AdKIrH7BPs5uPmVoQrahCKjS25kJOFNC3IBAS3jn
2PypoKpqBNzbGIoW06XAQQzOQGpmvP5++LlQPaY0WBhCzkQOmMS4CaqsRm59OzoTM+nCka+xZy8z
6lnxBmtBTMDKN8ox3cLaDr/kdNtCYsmXR8gKHUjig1ZLGcTOQybzePblCC8waLlGdehT3PGvAWZ4
tS2lw9pWLUeVLC6SvTUhKGAZgJ3IlSacxPau+DjVDa489wFjHV5QI855t0zx1IGxIoTU5fZ0oDyc
TJx0WDvJKlRb7JD6XjL57m/rMTJiJIchZ0DLLblribZnYEvDizcTOtzA0OeWVpzlBxAHEu8pzXxc
CV1jAsO6sLkuHam4GPlONaJLjgDLIpDltn6YEvLJ1nmWBEd3ouvXBDxhtbu8fDEiF7ioCggQqF9S
tNE3TMzAWbFLHZrQ5qomoiUdko2c72E0+e8LvREKkAaiDjwczx3Pq5nTChMJXvtNBOvsqFTLO7nc
iZKJHL6hhCXAsajRt+9CEhk1UXsf6BAkul8tFyhtJEsT+efNoVC0PxPccgh4OY6229ntKIrAQlMD
iTEqHuEdIipKU+QdTPiBVqYcQ6T2YaDZCxPHFmg0yTVMQSlial4EFTUPesPk8P7yCdmJqJFbcBXo
YIDhXQ68M6E3wO1tHtGII2rC0m2uRo60T33DbyJW5rJ0S5U2g7CHvLMwZy7b5jQDk9/UObENtn9R
cTh1cCyFb8DjFMUGmDsnmeVbU/Wgg006Wvm8UcvbiV0+RZaE8rXG0GWvy0U/xYBSP5jzBK3Bs2d7
h4UVRYLTRixHCZyjtbiQbuJWOTg9uOVJv8iAYcbJQuIdSb0+TImDmscJ+tx5IHUe5TgzE6QxhjKd
1z8VKwnpPqWm/8uEVsLDrMBHBGDqcsATLn8772PRPFqmGKnYw4wvel7uqyS9rH1apMa+igD6xZQi
0XIkR4g/433knpiXL+B9LVoO7sNCHb0srCry2HEu9y6iaZ5J3dXqoL1k+qLYhs6X+1NiS9mnNAL2
QwmQ+9brfW4R3+wRfDjZcB1HkyJC9HJDYD/0v9ceLq41LXQFUKoMtvmF8kr4ztPlrnAJMKfVLUJo
cuA699YSL5U6S7cha4n9WzNEskpkrhc105yRCtIImhDKWZB2yfKB3tuqqO3ztZIj/22iEFIb1nui
iiQfgVvOenJitxo3FpmPTNDChh0GJRpmr5qbBn4Tq72dWHeOJ+YzJ3VuapOYsH4RcSisizxfMuto
p1ahx5eN8WLZvruUb8nGHkgziA0I4EhkT+O6HjoWhSpSQ7hrSJFmuboA+NK+4zGzmyWBARiHfniH
mNYc1Z4J8aXwc5DO4m4cEEyPQpIjn0qlscBRC82Pg+Un+tD1A5EDFhPn6j2yQF3Iko7fLfqnBMXz
xrTCWT11Tk8REkG+fzbHekFaYtHa8aiM9xLPy2Pv6+JO2M7X2AjBFGJCORBgukD2eXbIX0i/R9i7
Vx4ak5UNtiRbD5XNA6zR1MFEZUeaEhxEHS3PgAplcp+zFJC8kxBysaocgDh7o0/tnVn607CKmoo5
96CLq6Su01tbtpa1ZtcsrjjZ68OiVpnWjABLbPV29T3QOfWCKzSLIUUmoQutwPCtdduZ182y+F9j
2aQRSZ4YNVUvK04weZlfLaEhT0ixuXQNIYnGY5QKLo8qav7ZBBZfku3M+p4O4AgfYVQHGzULRP2B
GqdYSrom9vVDFoEzzJEYr3syqG4uB+WMCcPNaAdLKASZAP/D3pksx61kW/ZXymoOGeAAHMCgBhU9
g2SwESlSmsCoDn3jaB34+loI3pspUfdJljXOSWaapSREIAD34+fsvTbjW5Bxt6hSaDbhyB83CHn4
pPq8mYQx6/bsJlX2rTrzxzLkB1tEP/YFOpnwQ+iHPEHng2FkRmV9zPO0ZsnrWNMqqVEt0U9jXIZa
8CoJImZmdUDumkaEZBld+1XMYHgwCDN84nGyd6UU7J9YP3hai4jVal543wPks/V53QzSjMURgjhJ
FKrknciXenMJX7oqiGMqNiGSgYdRO/XHDH/+qupY9xoEaacOQOQ+CfHIwTTcyQUkRFooVmDyY+P4
INw4+eYMkngKTBK8cefwDzIsgivjtcJQwOAWVVyBawtitYf88oIDm+4OLecbvM99s6+6tt/lgM59
zioICc1sth7AtNCycwNWJfo83BIvhRkNXklwkjjPqyRTvoeYjjXOf8R6Z/BzM0dsRq8ls2sW38E7
aqAiZWHuoqzw/K2cOrHjyvEDed76Ucdyvorxsj0iccg2LW8IqzOnnXmHsnJxhMkCB+rk1MYt2LxK
42cKSn9rN7Y+CIRsX/radr+mQU+QDFUl1CDdfhjFyCyYukpcgks1ryyKMmKs/fF5YV4BWA7DHKqI
KlO1VWC+jy4CrlPiARePUpk8FXUXvSfJatDrnqyMTda65n7y3ekU2HX4GBte9qVSE/8S0JykpVIu
g+h2Lg1OrAzYRmshCcBGIS3jLz75fyc8f5jw0Ji36UT9zwL2mzipfpzt/PUX/prt+OY7WuwB4xrG
ogx5l1HN3+J1551P791y8WCiB2bI8u8Bj/UORbuQDAMwwEv+2r8GPLb/jt6OaeGJE7Ttl7CBN5i1
32LXfm6BMWpi5OIThImqnRETzbefe0WsldEQEx53MWizDjcinbP7OK/Do+s4ZLZPbvtEM2ze1WTT
76iPwiO+ac6prakf3RIEt0M2/ZOJRuwJP5XY/nAn/zgSOn86QceESb4LD4Oh0M+fLuj9JrRGAn4w
zVYvLsEnS2OnvCrdRaqryPfaYwEd1m1d4QL//bVt8Yuun/AIujfSRS/qS2cxF/yoJiA2LOdgk4DQ
iMLngvp73Y99ElxnQVPhlq5d74oRbSm5TdK71E6QPFppk3zSczl/9foWZU1NzXgkX7ndZrLP911O
aNEWTKu8ox1VT2vdey6W4aK7smq7JlK7dvCWIQtDfQLOhD5icROLCTq4x6BhbfpKoUOBQr3p+xnq
iQ81Vq3sTkKVSaX4GNGrgXyAw4/DIafm1pm3TZX393HZAkGanHJYoSH1s10EnDhew7FMibNyFklW
YyAi8R56PDEc7IhkR8Ev6/LUkB0Dk9UYF406tKPJQFKFW9NepXPXTwzXx0Eh1yYFjdkA/S1YPc9l
utCrjTawrtwxDTeymbonqnRvyUdCn7gyrVgP7Mq+PPh2Nu3QVcq9DkQCGkgQq8PYRd0HvZHe0XZJ
rE0aKfNjXrHoV6VnEgUVo5Uce7tJdgNRFwBgeJWIn8CrsAqVkhCEnLh7sAgf35adN/YXtPhzvIGA
cO510vvxGs9wGwKOwVtEjgaJoCgYM/AIrqwtDP3RbF+WuqFiiKJEjBz5A4A6DcakTU2/5+AOQhg0
QCQNT9d99tLJ38auLG+zsiGIK6JipQvB/MeB/kA8g6mtHTQ9umaYjW4nYpr3M8SJryoWwy4zE0R1
w0Cf0gouECoV9zOgfPBRVZ8eZwAfG9/tPI7WMEdnwpZhHNQdp4qmmned6CKsX6mYJNhPCPXrQZWo
P3CoXYaGr4/09sCWp6I/+GM8Ej3tufE3h+Mp7VVLu4xO0FEyT8bRL2ZFC9VN4P4EVqSAU5Ekb68k
GJt0w7v3HuQ5LHf63z2YY+R1cnxvNUWikb57JZJlOHMqWqc6LIGd1V0GOCAOibhCVYfAvBq/kiOE
kJsQ9YIg8LqsB/O6VUGTvAwJ0MBDUA6OuGnbJjzOgMIuctNOAT3i9A2uJldULzMgqp6EqF5jSLaU
0X1hkpniLAk6FdOyreB4dX1TGtsq9Kdr0gMoMlvT67DrDUzq3k8w7qYDyjfKRYPwoRBnZUMXCyRT
VH8CywElITNKt8QC73JQi8bMPMwqitkKuvKqifGgbBT2nRfKBiq7Zsp51DWl+QQ7/J7B1bIYxnx/
7AjlTTr33kn0tGPW1EbnqpbvRlSd+74JZ2vcKlBH9AIHp33qEpkSrp0MfHodefOBKmE+JHgbP9La
gVU9iIDIKXfASxePvMjb1uwXvaWp+89m2vTmNcWga56CcJH416KuXpo2D1xoAPkMlJ+lPOCbx0Av
erFFNLkcuYxuIGxDzB9yFGicvrLRnhckSChCjsXsBNb04lKwmfUSV2byXxlpBg7P0WRFeEgrCyLD
cxnpPMFtYLjlSz91BY9OM6NsbGZ5UuhUgCBXQ2XsRpB36coxCPZUvshvppITAu1uWhur1ko1+vtI
oFeqeLGS0M9vOOOpYl1GEo0up4rhQgMwEisTrXNxVeC5TFkS55Fnt6idi9Ky/OHkqEZj5bXdsN8Q
Wut9MoYS0hc3JwvWBAeW1qbyJenefTz5zQrI4wipy6hOsZwCmsAS7XyIBueCOlJss7GtPrdW92jr
UV7QjkndPaT+8Q5MGGpdA6bcsPcZMDgrjmvYFEW1pJcDNtpZvZldk2OGTo/OdXkV52PzILJeS/IC
e/eLS5oFunjbincVyKJUVMYMosDVVw76ffLc4D/2Hq00pF9+fqHJiHS3vm6sS9vIu4tACDyuPEDG
Q8Y+g5cF0+PGCRRDFksVniCLpF3IOrisUvBZXjntiZaeWP0GSS+fdTwCb+I6Ox2y4LeF3T6d99H/
Fo5/KhwtSLs/lBy/SIOuky9xEr38JAwSr3/p7+JRvHMg8uKLQmKAf01S//xVPAaEZTGyDFySdBlj
gvv6d/Hov6PzaApGVLakX7/Mg/9WB1nvqKZMWP2oPtD2eP9RxNbbyCLhY4Gx0VpKpAEOfsVlovuD
3FJpQ3cqb1GH184iWRki9oEDAIRkH8ZmiUKd9J+iukozhuGPiSa6SNdTXDerNiD1x2OZI1qX5qHN
AuCmcp6aVenkiJgjwdRtRVwFzyRbGe2dH+70PxSWyyf794jUJV2JD+xza82l+KW2/PmT+20Ph76Z
m8tz49FaWuuUKWwwg2eeRlJS8j9Vk/5Sq/58SQbwpCWh7/Ilv+abSttIcrs2+iq6lDK4qjrmsesc
9zlxBg7dV3OVKUMdCAmhuB5VoDgBOoPnwNPoaSi5UWxVF6GXsFzPg8ddKWW4OLao/G7RPdPzqZYo
8Nh26B4KRoV7Z3F/pu3SN8eAyyCKEodRtGoUDRRX9zQCorHkXp/1CflMJg1GNPelK2ta3KladoYg
DslxbLyQFvor8ns853tKfhG1Lji+90QZG9P1tPQdGsvmIRht1JiNTXt+chCIb+eOhnuDtRDvZMRU
ejsmATPNswCC0GR6diqOxINlAUb7K5+1bVL18dyejeTIx9Ai8WmhufQsxTDSiZGVUPGNPtscz0kn
+PZj/dgoyi3OBQbdIJHGNLoxSHjiNGcj0QDSm2T9LOyeVJyuYZ5DJCntUUN47nCPD1w8GHYu9FPt
W5qIL9Fx55J2aYkyydTVRbMoTHHmL17BUNInXOXwgSI8EhmfTqTkka31rOi0E8MCczqEBSlXFcOU
GPufzfdPs9J9OVsDIVWjKO4b/nowUj5tVCLvYo4I85rZDTfpdT4ona5rn4lEHeoDMOoFJXe2aALj
47YgOaHvp90OG99EKMFMtrNLbGo0B3TKzq0gQNE2zKSEHuZZ4xAodKubJO8M8KBE8VzH0TjfGb4Z
a44cvLxEeUEuRc5iddsWakWOpWvJmGukN3obsAI5zjUvYvyjLIxfo54eGJJ3J8MNNGy0NCSVYHb7
6iVKO/d6YibxwRg80laHOr+17Sx6EaOTHNCEOT7DjNJ7KaNseKptlFM78m8r0M8m7r9xoGMbpzhB
1wWt7ukotITW6tKn+WBI1XZ3r/MNlyjOeTU0SxObqYZsbsxOk0vV0lQtc8DNTAoYv9Cehzmb8kSK
L2Rj89sldu2MkHQnhNr8zyL9XuuRuKdFfp3KZWBWneetiOOwKS7uXbxe/Dw5JC4ckOHIb5uhhyFH
ZxEXc2d4uby05KXM6mpxqOKeap/PAzmg57wIxuxxgxNYkXJ/7iq6RIkBSdMtc8mB9Pjdeero2K46
MHJiEoeTgFuPB5KrvLbMcRUxltLn1Crv3CIFh1xdlnEmmgfCrw3jg0G1oK460RjN7aQDPkk+2Sy/
M+CR4JGjXpHdh4uEUlM6oQgYaE7Og8MCMU9LoB6pftxLbS5G6+Bsea5NUgbI+kQfTzwGb0+t6KKv
zw9ypg1+uGpJdYOsuLwUHUCvGX3o4n0+iziT3sDC5Vt+LJ917vfiJoWBrnCVW+RwezaxRrFc/OI+
ASE1oHV6oAcvjBpSX60Gat/K7SN0NqHfZU9N4rUWAJcQc+kNaQel9Om9Eo299fKI+ear2xoJS3ps
lcdvzpGb0UI32/rJByCZfXO9Ugi1ciboxthzOMTdFOw/s1qBeY9IKWVMBAaM8tM0L2Jhz80KLdq8
0DYj8xPECE6wSeSfStsMnt2hxxw5W+89cKtkJBVV/7gEOm+zDlc5D8YS/BLFF3YeQDWBGJetCoKN
CLyxJncTe4V7MNpRjleVk0K2eIpirKk7p+YYSVldT2HJIlNd1IDYPrQulFG7MD9hZiZ/BPgy8Pey
WyXxqP2DlYnoc96G3jcd2cxXraa86XJ51QPjmbZZ3ug7WXnRJ4il5bZgk+Ic3dr3vgrLTxZpFVi4
zCjE3s6x3ey8hrnclK09ICz2gubKr5M6yh9F2nowvdtuNxtgWxjU63XZkMM9FCM0rxyUrOsM/bYf
vfyOZb3+RIc0fj84+e3oERi/b1Tr7NSkIBenVbmHNAcrvpX541g4bcTRuCyvAjawTZ6p+ZgbAfoB
24FXp0b8UrlHDGwy2NUDm079XLo4IzfpTGsDvl31RKjgcmuLJFj5krjsxZ2tT2hjbGYkA2kltB++
Q1SERtQ7zkEQ+kV4uhAnco88ZxObbjnhK6Uc2LSIgS5VCwHKz9WUr5HgVBderMUuclF9hlW9N3Xc
bxq+43OaNTVJuWKQF+UUWsN2Krz+pKD1vw/qWO7RgRCkYgRkuKcGUYUTebYnI+7UJQv2dDDLcroY
Dc79M6Fw26ltmjXuN2YZ/USOXNnKhyEZ5q8mIVEQRYMZZGcT5Jvfl0Q/C2mXkgiExSIaWwgPNjEQ
P5dEqipsP106f+cBIM6hfG2Oi1yDk5q/QR7AYWTJbvz9VZeq5+eqyAOa4UJSp9KF47FUTT+UkE44
x148EvXDgQUNg5OwMNQdQ+7/SDf6+u2ktxAtqPZQn7ypvoa4kn0bkG8Pp3FZU82GNXtBIxCQztLz
+y/1pql6vpWeaVrcTtqqwVvZPG7b1ogoAumVIgOpKuQ3LeGW67O76PeX+rWQ9U0gsuSFImKknn9T
yKoo8GpaD/JoS1JnywXP4I5Bvm4XIUDrVf4fnpJ/uB76dFwnKIKl477VkmIc4rXNC5iii1P9dQsq
Y8zjwO1aqpFXEdrvv+Py5P38jPDlfEJGBKkgtGnffMepiJwOq6pzBIdCdeWdKQ4sqOzAAPVoqDgY
KGx0YsgYGeCmbB+//wC/PqT+EnobQIzxhPhFmVqVjjJ1npH19SojQVagLQaE/x9X8SzE5NJycSK+
eQFztBdlmLTyGHUxiWxAc/bn8Lb//CocKIllRonIi/fmKrKzhXINvkugUJJIHOproZk//f4q//CY
uIud2MYE5nPcfKPlzRRYiJpB71EQpLBPmph37tVQcVbCdDWJ73840v26frGms4bxtRyb//Xmi5UJ
uK0RpRcDy1A+W4B2jrO54EH6vAq2jKNBr7wKn37/VX992XFhMaghDAon1i9vRCBG0Kq1K44wagOi
CFgnu0U6N6cI7n5/qX/4ijwcGFSowT2O/G8WS4/WEZcqxFE3MZSXha8yL3gSaLfNIVtOcHp5an5/
0X/6fmiIGYSYLg6ltz6RwUxKGxmtdcwlfI+yIGA6N/14z0GHH/X313ojVV+WaTxNhJg4DKa8JSX8
5+2giv3GN1lPjjS8Ah9veeGORLWY+X09zM2pIpa3XIUT4jwy8ThVUGu1J1S7Otw5RutwuKhINIwQ
PVoxLJ21P8Oyu/UzWed/uC2/PuGL2RQvDCsS07u3zoAycUcEo6SoCVR9NpyKBMWWNtgvh9ThUUsD
yvo/3J1f16EAZTx1pY3qZzF//Hx3opx+CcJVHnHfoNbV/qLbhM/cIcdHfLteglR53lMCTxUJJB+H
YUlKthfbBtJjBPwq6jH4UCUl+26y0JD9/gP+0z1hpeRZwZ+xjDx//nymwi09+Lz15/jm1HTTT1Zk
2McWTimcH2X+qY3zy7Mp7WB5G2jl8IhiiPz5gippl6J/mo+Dg3ChNVOUmWehAzs7p/Hff7t/uhh9
I9ukQcNS8/bZJC8jMJmaIdmMUICQ1xRcmRjZ8YubNcfF31/sl5+ab4agEFkAxCeWszevOrBPq25D
czoS1MfB8hUXxYvIKfH3F3rjA+OVY7Ipl+IBTyJb+tvKCJN/omXtjVQQDcl8rwIoAz1G9kieJQ38
GqRvwzgMXwNk+EJzIvFsglMXdZ2u0FTFSUafwBg5LK1ba0YBszhMzm6IgK4XYqB86X6MePjn/Sii
6baDeUKa5u+/ya+/zzJpd2mYMi9fTMg/PwxJOfm1V7Tt8aySOaOxijFO9pH5n4bDc8+Y5XPjPFx7
WOfebm/QdUU3aMIGmkV86iO8Q0u06G2B0KAZK/Uf+4fL7vVDDYSNg/UQJQL/iVfll1+pnAvbUo3r
HKXSzjeAd8MRUGbw4dwQkV5LV0dBIX6stBZ/WOnE20cEUbyQjN9xJsJdoxJaBuU/Ful52CXOmKRH
y6KThO0jRYqJ4k7OvS3WiAL8z6AeMocBT0v+yVnRCTQ4Sgg2Wth1Z3G1eY4enbOlX6MabzlYADVl
YEGs5UWDlz7d9/z7tx5U/ZJ/CeLsISCBkriwzLerO5dQ6g9IEtnuDDaD/dQ1Vn18FV4L2epbd9SM
vMiFoO+XnRFiiRpAb/kRqRLXrrlExJoEet6NdBvgCXXGXjuJvK0mQjD2lcfknC52Oa9MTwnzira0
Wa5bz+0DIpUaqFOZ4yGwyet53FSTmjlAz8lx9JNlTp+7PUJhK1YBQbcqwUu0qkw4Vy/2nJYV78wZ
0tbXVm59HRsf/XZqpLwvARJzmqFwkuLbYYKCt/UMNVcX5LbT9F6oHvHhNRi+VDP/71nxdC4+hyyk
8xKQeoQhpZaEoZdosr/TLQf2n1lRw8EdJmgAX8c39H1NWll8a5PaU11lkRq6u9ZuaeuK2uPtrqyi
zu6r2WS/aPrOUjv0SgjiFr9aJOUSuVdbeP1akxYYMCB3/mbLEtF3oyxadK8AMG0m/EW+Ogn0Ix/3
fQ2rH/24SJ2rvwTmdU9vLkFTqXeS1J0lZ2Cic0XWEo1wsFGoZQc75F/sZRxan+fRLi+UTnvjvSag
eV6rhRu3CczSoYUT53YrbsoRbve9RXIs7CIel/iW82oFgGfyRsJKF6vVMDStl216fAvrmYnzEvLA
Eu7OEU8QyeYcJIQ3Jh6+LeQmFzE4K5JxtTUkp6rJ6Wn5dd9CvMs5w65EEtBljHowLg+vGcR+4vKA
lbEPnc5IGvaGcx1Az56nb45wcGOdquibWdKzp8uQRghWpHmq9Hf0ZuEteAdUeucWnJv3fBg7xrrq
gBh6ScI4Drdt344MxhcpOIo/1hZzeWdwm6T+S3kOSUZ7bz1Y2iJRnG4vvXnRodldN9LlKVK+5GQG
JIH7KtqC7wBkpf88MVYedjphgvA6mkFzhJXEXgqJyKG28yvc1oWVLp3Yhvb8ql6EhtpCprc+b3+e
BHN/G9O7gtHlMY9YIWPQ6a7yM4SBhPzxmha1waQBKB03limpY+/SQETJXXsmNVhQJZtdDbv5vpzh
AH7Cy2sbwyJQyLJ7vwp0f+3q3HqQaVo6674Jk+kbVh4e2dRXwrmbrBqVezxRG9u8fzC72Y8ZAwCP
jmlX8Kw4THOIRHA623uiMM/AGrpNhwKYzIKhhl4WhnNBb97I3fQIHo5u/ZTTlNzRQZuBYjmpEx4L
09S02uiQd4uuZe6HdHzd8f87J/3DnJQZJpq4/1lf93+b7KVsf442ff07f09Jg3d0IuTirHMk5PZF
R/f3lNR5B5GcMxM+SM66HEn/NSUl2dTlryw9JzY1KnnKib+mpLb9jkkdfxpnKB4CkLP/icSOXtbP
e7dl8a9RNqLcseirUh//vH2qhAcVnpdz4ea+v+5dYzg1ZTfs5zDWxxxn8GGGOz6tK6ylX/GX8DJh
t+X9s6zxvqp6RAptbbzkXm5eZwyET+Bn7OWNSHAJ1rLcRK3jnWLyy+4nMngeCjIgCGYgTrOIpPWp
wkUDIw6oK9s8IV+t+jy0aXrQxgLsTNJRM4/t6/mLWSO0T8KIdK2QOKf3TZtkx6DMSYzy7Hzf2zBJ
dVdeVy4qrSAPia5PSTm2hna8KJNiGdWg+N0II/KOheprRLu5viH+BUBW7jNcbRlzoCnT4k4bfXDy
ksy8tqbEvJ7siZcepbnaCc/K91YlomcrSIKTZWS3lpb9dchMbzanamMx+FzhQgiMlalq+zshd/Fq
ZOtgxMD5CNF3090GE6ZL/C32FvymxnKWJ/3ezc366zhyEVS8GfJBTEqwVLNH5aQSyDqD5z08sPQQ
tF23GZ2xwM86WesOS8BT5SfhTdfH411HyPoXwjEQuTU9qeKZPx3sKW1IbkK8QvMM4bIQyU6Fbn9p
aqk+FyAKNgPslV095MPeY+6xsThErJyszA8IU9jB8SF9NQJ7hXpnWttBfSlK+LWhobd9QrZNZlY0
pcmfK7K6uOD8d5Hj6NwgsJ+fnKFRe6UG93sUIFtpoXXRgnDGPfCAEKhDXNxaszeLXWCk2TEmDp3M
sjntL2tnSj9EGHI+ekoWWxIE6iMc2fF9PYzqIQid5Ho2pXkNdR2tXt/YyVPYOe1VShr4e6dy6n2x
DNk52VXmgWUaIQ4eJ/sOvlNyHUXOvJs8D6CWUcO4J2fUGlYlKpZN0hLvyCHUvA2wnxyrqJPhOp2d
/EuvdX0KpcwPk+7tS9lxbi9qmXzsfS95VnVMjxNj6F0B6/SgMfCcTGOwL8XoAuJhuH7TYat8SBHB
EJbT5heF0V8AuhhJKixd/yRULcB7WPJascNdJBZ6M6j+JP8QxZfvRid2b/J6vBTxCI4PgOzBgFuP
LKx7iXufGMFJZ9ZW1KH3ouzxm6twNkRTjS13KlxseqGz83yaaRMzpg+2k32ZRhvUsxE54qPnlw/V
YM8f2rae9jOExruKgUW5opFqHF2jJQ0Ipb55igdCx9cjU86XNmzSWy/KFOYm2w6+IIeK9+XAX4rm
JH9k6MFA2qYVQC+muGR6VWxHHC2YPXNyGpy8eO/ZbfeZHvXQrLrMeoBTg6JplMdqVPuSRBgcAx55
p0meZnf0uPJ7N8wPkoAGDp5zeeFkBVxAJtyrnsXyY1cFZPS6RbibElttvJYZELbc9L5uTefbrMFJ
2lRg6zmeslVau9mzZxr60Str464WwOj4QT3SXhlXbpS0ako1kstpLF0S0uan6yCgfEyLfdiO5jXG
fToW+d0QhsMzA9cKKqTN7MWMbJwjvtmu0ZEOJ1rCzRe7m/gkjrlheOztK4TKW8JWe2OLFdF/7rxJ
Yc82gRqsRm8JkoS5d0PEb7ZHwYJiYJpcb90MWgZr30BIFoUTaP+5ZZZd9b1PlMLwGM0TUrccR8cm
byLFMtcCVQvqxryMalVfc9Axt6gYnlORYYaCb29vkzzwIA0rE78qOuGcCV/mjyYNtNbcVmbKzDHN
qs+5jGdS+eLgzi18edG2riZiAsv9XdIZ2cbzSKAq6/ZFYtjb01bxb812iaGtC9s80XAx135YzNBk
/VxuCxtbU8CucUIAGz81PvlKxJ1+CuZOHtgRZ9zKLeFKkYM7aBjTqzYlLZJDV3CFo6a57dJQXafm
qD4YYZKfoEnVHA+YzVlBRdKNgC/qtsp+4oglDgTI2VvS6KpdrFPxbfYi4IJuUL84RBqxufSz8xwX
efLYCQtmq0yyYGenQbTv55jk0SkiE9IK41sOfiziAQGlQ6T0e7Pn1pexO2+mqau3LYbYS1qHLsEV
eRXf2B7Vl52RvAlkFM5kbdJYwIXV7yEUdRdZMNePOY61BH7HNptCMisH29nWw2BiYe7MOV33Rums
3IhjCJjdkwVc94jcNfs0KkJsR7pNqwFk2XXCK37Zku94QImvIcaqJviYSZlsinI0n9EQhQdWJmKf
OrGZhHRv5z41vtSOR4RI5xu7IvLaGyvBo+Q6RriTTtTe5dPoP0ajjzjQVOb7GEkll/NCApMmg8Th
2GtOzaQ+l+08fTHnnuW/b7qZ8ad2or2mNt3MWHqABxuX+EDE0K3KJtEKkd/oFiTH4e5PWNES847B
SsPen6YRRF8KEeyPCiZEaQfdnSLO71AhbUBgU3ukZc4tvsSVF/rqe9DU2cWQk4Pr6NG4SgQcYL8s
boehzA54zD66jQv0ED9QjAZ97D9nnfwI2+/FDPvvXj5/9HFzEzUDs3zmFFbaqrhoSm9C+548CBXV
xzr2vIehzgQGsrH8Qp9PPyGH/eijhzR41BPO99mxjvgWPYIDxPTdPpdazfKaUgsx6ELtNt1tIqrO
2aIeja+0cNHFj7r3b2HDTPK5leH3Ppls/5APIz+cMcWi3hkD6ebQAfY92g8OKHFdMdxWRvWxZgGl
9gqGjYUaEubkFBVHThvNph1TsaHIyy6hX5RHGhfeR3dy1ScMSlF6G8IZuITQaTUPKDfiEEwAWpFy
rdsRz9Qq6tz0K4L11nh0VUhonRWD0V9VRpJhwF5CictzPHFQlbtBtk9EmwJv1FG+MSd+yS5ynrQh
xoPEgEfbv+tP/Mnl7O9RTiL1SRrnqmdEiH0ft9Yqi9hlDG8wDtQij+Uc59sYRfmRHcR4HyNjuAKn
TlZqaU2nIV7Yyvyax7kbV12cjC9ORo+zCcifbIFb761Sk/baL+WWPYse8bHdXCbJRRbuMk9OdGrC
7uDntrPOFEDols4phGKHiGUO5IgaoouZtADCO8OQHEqRHEkcu5JWznjZs2og5gTtTJGnPvU2I1Kf
CNM9fZuEVDeg3kZkkoeQ5BW5fk5NqGOcsZGFdbso2PxDb9YITnJR7F28Yt+xclNG1xn8CrRrqBe/
SuwZ/hMa6dJrv/SOpzL3MVQOFcc6UXnCYfF8NPnvIe5PhzioML89xOUvn1+Klx99Uguk5l8IPB8v
FGNszDYcvCy60P8+w/n+O/pqAmECxxPmzsvE8i8Onu3CwfOAaEGmchiMBQzM/j7Dme+EcJiTMLPi
ibOD/4iD96Ybz84iUZnwKTgqCoaab2aLqVWDPbcdg4akQRGA73U+9IHTPvxwT25f27n/izC82yop
u/b//O83HezzZRiZL8pcBt7YHn8+KM4WijsWJwMMPjLOrCIlyO5N/6YYB+NP3fKlG/5jQ5mvFDCm
WSbqixj1bU+X3yJtA3pth8mqghvMicM1TW/7iMyQEBFJoOQf2vN0i3+5pMcyThOZeQ3aCHMh0v3Q
RiZzCtGgx46ZTLC/celU3VVFIljFSgjXZu0HYHBMn2H+zuyjAYo+9thpj4NblHvlRv3aHQZnXPWa
Iee5FxVUmrbUFDSEJuukuVJBG+xVGAX7cWbuXGDEXJehLo9TYxV3pI4E0Oua7hHxaXmkJmYzCIvk
FE5dciKjyC03dlTG+0mZOJajdtqqri3uhOHM3wCqzh/izGk+eHV0bfZTskXjVK455mIOEXZ2zXxK
LppFu78TbV98n+25upntMX0UYHNWpRnmO1fF5drCIbCGZD0ezCqs6NsrsfcHsqIbNY3sDVhp8s5u
iUjoqhOqU9blPLNfTGZdh1yOimhlUL2okjy2YB2EnHwNUX1pkadeybnQd6BB4p7T8ciOQP23M1tB
UlRmBGO2YWrhtWpFSFs0th9Ry7hTexWXdbrzSi8gyzvkOV9DT6JUMu2i/Nw3cGkgDPhPaZCJ+yAy
8Y2NZht8TQnkpDsfNF4JD5nAbahvCXZkjOzsRAwnP2cxAQrrBE33Dcx3wEPUP9WVR8FwOfXl+MGf
wNlnYdJshMh59lIyyVZOkro3iQ0jWycmnQic57TV5ba1zOZj4VXDrtJmt/MHabgrTUzg16Yo4j3W
sy8TMNZNhCjhMgr8niio2Y2LbcvNidEzXSsglk/4Ko075pHzlTmHPpYTkqEvZDmYBuh7gl5ItzDe
OwS0kpxtOocB3dnWnpLsiuli/zVqZQfpmlCE7RzNsiSRIQmO3IIW3r78orp8PVpjc4JmAvvDy7+a
WEZWMnMwYnFYAnryGLRGwkPKyZZzMUY9o9DrVhNDWAmHg0KYoCOtu0vSFiCC6y6a1tL00xeUByF/
2Ptkh729Qc80bbUn1X2Igu1KMrlz9ThiuUI5wKPN26NdMVzjFRfb1Bq+6QIJtNsY3XUmyvlzp6tp
zS/rfq51lt0kQSk22dx198oluLPs/HulgmTbu/OzwcH/hFRVbGFvtScC0ObtGNAlKMugX0dWMBAP
7dyVxE57dliJQ8IZZwCjjrN0+kJoOVmW4dD31UbCZUwhgPg1XpS5TSGPR0XmbqXo0RpOucKTDe1i
0hc5o9aJNHKE8eYqNIxo/pC1ozOApxA0w/GiG5XawExo0wenSf2INEKsQ/4wPnhTF28DixoKfn7c
EPwZZglxqsokpKzzy3JPeqz0njWxkT6O8Ey4F0DvQIQluTH5uxZYOz6eqOgk1vFxju6HzOVP2nUy
RCc0EESnVkVTjreRROVlr2rkyPFlEIKDgooUju5HUcc9LmyzhP+/HZnBiA9pPxruTi1ZIF89HfND
xeCpjWM21VHfvM8KfGhqbwVt9tFw6+x9MCCgb8yFdl8VnnsYzC7/4IWT0WCwEyEm0F7aR1cPFdCI
eRj7lWvEwd4FWXIcRaiI49DuQRSAKlc6m4i0JYcQVXxM1uuqhSeEwz2U4ftp6ke46CQrIxktcaBm
C28o11y3d0oc6AtQk9N9eUw0Wrau6Clr8cLSUv9/7J3Jdp3Itq6fiBxBDbd3F6xSWqoly+4wJKdF
DQEE5dPfDzn3ObbyHPtmPzsee6ekVUAQMef8K82DAtVYFmiDC8V7pztdTWucEsgkfRVUnSCtmZKb
HiCK/C/vnJVGadX90omI9PRK62UIB728nUxLfrPgFVzyQdJ4lxsWnjjosJawd+Ii2bbzWB89UfjX
hZ06LwXsIjIskU+gPnBLPNaYhRH7QUBUgAcfP7Mx/H4zvLZ4MoWabooccUnoLWV9H5cJJOOOMkJn
80CVy3P7F5Xy3yrwd1UgDfoPFc/fFE//Fzy3rn6uAt//5K9JPiFtf4Bt2+YaqIZh/FqU/DXJ1/VV
LW8hdaIKW2f8DNn/UwW6VIH8lbcSzdaf/DDJ1//AOhmGJFMeiHX6PxrkG8bPrq8rAdDmc62IABN9
C9rEzwVM2bgdehDY2gQ9YRPibLxRlQUB7rZTi4taDp5RBlnjqqXf50ZZlOKTQvuvb/OKVIYHEtgV
bHJ8XRHKF20GaTjj0cEIzbtPHQY8jgp68sHxDpR4clQ7yxxhsbDNzodMG0ctCYhzNMrh2KII6Aam
UwoPRXmuijkDMh9SjjMfZ8VLG2j4RFE1iCND3fk8W1H0kJkNaKfmPGtdPezHenDjQGB+xFhFXmZl
R72UTTwVto3dW+KkPExpwrZFxhPGMLiW4AXG8BwoscBtg1ga2vG7ZXU7owtjP6DkHc6pSMDmjESx
I7VDD77vI7Fizj4NxX4a2sILbb9mQlnGjXvlI3nOgo4md99oWs1rylntafyHfqMV5BUkpZUfZNSO
u2xpXTTO+Igx/bcyUoLJChuuDULuPqtx1u9GJ6kGLEVwtUy6jpMCsx2DkzWelw1DLCww7WZ4Rp0w
P0VL7ToBQzyiHqfam/JN1Np8USsSvfEckUh5OdrAEJ3hQHzR82GLX1VDtoreksBT65KoGHfcwv2A
f5Xmo3102Iee/AzNhqFGv9unmdWoHX5QAnNGlnpICNYsbhsn3xpsgeXeVKQqIWidEK8QWL5JQWTQ
oA3l4G4gnrQ1XohMw6QzlGiAI7yT46H3dsY4jttRZXVQxsYQ72ZD4ZaJV6K0Ax3rwTc3SsXLQvbd
Lrd5GndrcbUFLp8Bcn0fCKAt7X1fT/Jer9rkIndU8cwgEotTMTBPk1qsGJYksQiN1r0uyxnTEjKZ
t21S4/0jk4JgJAHQPGzjuGh2M7IHZqytfz3ZDXreqCXBr7HiU+IT+7qpzTK/RyKLUtxOeoqhTKuP
KsoM8ibcMnQAjb+sIypwgUz3X6NyIFB3Jhcw38eqMR4iYJvj2JbujnQNl/l4FXX3njV8FaOthcNM
KGrktXO54QlIj7UrTWiR8TT4QYyx+WXpFNaJ6Bbv89pU7AdI2BFa2YXAQsT7qF05H82wi5oH2yra
q8YTy2uhyijsm3h+wt2sPEQLBzMsAuFnG4nnwRbIuLsGuq+u8EvMKM1rcLiNMaTEzHS5F+pJVD86
caM2o+ZXx8pP40+IJKFNeSoq7nKQwAA5gNwPqtwrNMhUYRFhS7aVi1s7afpgVpPp7yAdGyM7C4GQ
F8g/MqwElLxuy8jfdY4ovlV6PmMe19V4XGLBN+AktfoXfMWw2ArxoxoDTDGtQ1b4flBbxss0zp+I
hrcDJJX+FPqD4bZ52Jg293HcyCaRvXMzdloEPLDJbadHi/nvbKRSqZp/cyrSx6/q3P8d4b769tpi
3PnTufjXH/11MPr2H+t5aP2o9v3PwSisPzgUhWBmYDM74PD761y0gLEF5EGPiNSVTPujDlj8E0Tb
+IhoE3FqC8h2qxHNSrW2PiDahdkzr0Safkk+kz8k5yVvDQNDVdNqMjTuaPKsGZgSSnbyLek12C45
2+SD7bWgG4uK7ovSixZaYtM4t3rmXBtt51xOMENoG6B3QVMhy2VjYB64g2TVP1tdWSIidRvSxQy/
xyrDS69wzTQDtrlYbSCEGVsJ5zdgKmteqbi0A3g2zU4MXnmT56K6UePY3/mrYxZOr3H+RE05nlZt
S7+ZEBY80y5jeioSDTAW4sldkXjlXWuoJ8fLl2OHKBTg1o1vnMZe7oRetHer0Gpn+nx8bPimLU6/
6pRLABbEb/imOfq0tRJrdTwBwHvoU6KSXbdsDphCMf6wFog3TSO7GxjfyaemzPuZqEMaWDMe2KgT
F1UZ84I7e3Ky7SDW5kcT1XTZwme79JruEVwFMouOrqaFuQYTTxB4/VCpPl+36Nd8mnANMIe8g4s5
pJdNWmWc0tLuvqAHHvGh4h4+UhqXV/RryU4jRZoJ7cpxSghkCmnY3ZXn48HDjrT0BueJ7KAV8fWY
Z0wLsikPl8Tm+IaYcRBjPV7iedFfVpqeXiV6CYSikBzez6rpdzk8tEA5uXHttVN3mI2mOruNGC+t
rpoPTATNl8wy61Pm6+oe8+CC4z3X8m1l4CACXmh4x1Ja/RmOkNgxRNJC+vnqVlPCvMfVV32Gml+8
4dIqHgyqjtDJp4rMJ1u7MlMXyZZQz1wrDHeaqfJvUD6UzzjHDDvMkKuwIs9uO1Y55FRha1uNIL0/
m7EDt1ESnt6kpsA3hxU8YeEg2NV8/6tpZn0bNK0OAMKxgNR0KkC0LKdKbqtuEPnG8Ru1ncHlyNFj
ZuHBjd6gFXoZjMG7eBfqoPSUV1bLidpXALmasaA07cCkJl3zATA1P7uUC+yxIpbeQWAB+S2rQBuE
hGSY5gRo55RumLDYkfbVwxa13ERxRzRkMzoF5w3UxYsqdVz2rwSQIMfWBFO9LFypTs+pTnWKR8ZE
Vm0utonV9WeMyGxm7LIZblta7s9NIQ2cTQo5XUiMlh+wnbavV5OL1pMkIw5udZOiBbwzBoYDuQ0I
u+mHJS9Zk2SA2XUDIwwTXTt0OuUSBTxWeOJj4xkd8QqFmeDr7dEGjSw2XqNbC1LYBudMggHLJ7YR
eUOa8nKomAFsh74E6tGkOLuJXo37fpBYIjWpR2Eyk+4Vl/F1m1hG6DTYNhfgrpA5AZc/dVHClGzy
+vnecXIzDgjV1bZLpicH24nKU0+0EtMrzR2jYNAae9hVchYoVAHDA5xM8vJKI23+ydUp0+Gu1JEM
rKaJ2ElSSfx5Wf9ZMOnGYMMpp7O5uJgypbmd5oiNB+0pHjpQjIzeJAL9jSfI+DrFG5zQxthNoFnl
RnpyujUKoX9qu6hioCKNVja7guJQTGedtmcCZzbjskd82A4yLqluxtnx4u0ETiruI8IkZ+cxdnGP
u1Nm0g+HetXfVKdFAhFi1uhl5SRDazDy8b7Nptj7asV5xCQygVI02o8lbLbG3XoSYdBO63uV/Tm7
Uur53uMWtRxcHG7/dse/qQPQ7dAw/u9lQAD1tn358yczue9/81/tsUF7DFkDiM3RaWwZoP9XFUDn
DLOMET1pFeCc/w2SWDpsNmjbTN7fTeZ+bI/JHUK6ApMddhwACxnp/8BL7j1q5QdIAYEew0WfeHCI
6lQqHxVYAiRVRNqiXVDpNpkPYcD35v6ZvtGq2lMmSpc9NKe9TrI91BFGrJemX5TjliVt2a5ix8Bv
MT5ZfuTl5rnSDLQYODgr2hFiAD1mS92+zzM1Rfsc0m2akgyL9xgzVP5r1B+iZuG9HoUNfWmhAex5
ZpJLfSjtGf326LnaJoHfEWgDuGB5MtHaEINMPG06bxhpDeKzUbWRCmpHtXK+zxo6BYyfrXh0b4Fv
+8S/TlNF/+VbkHBLz9AI1e4rLGCLvl3wpXdRBOVBzM7n/RX59e9T85unRl+lrb96bC7rPu3Sl49j
pfe/+g9D1GN25KAL4eFBSWH/6KND9Yy+gQra+/5I/TBXon6m9BWgcaDjaPz+G100eEHWN3MlhkQU
2f8MXTQ/wIs6qwgYzsIJksfXtT9qyYDDxr5O18Owily01pmm34mkWc64bcld3WQezwbEqddOc6MH
N/Hb41xW0Ulr0+i0KtVRJbj6JeZ41T7HySEwIK+UQAG59uAxeQrdhPMbwpHyAz3Jpmud2eu3rDV0
Sra4eIJMrzBn99Igxvr7XAsrmcLKcIcQEQFM+li0416V2rIeLM59j9PMb0IDP6CRXAHiIQ36mxWN
XDUmP0/WsM5rMQeT8oix1XTDNMXfx3NPBIlS6/fic/+wRH6PtL6/H7EvJq5FuCCRoPTz+xmaLqY4
zyWy+xaQJS5e42UcIL9yDX79TiySH3HW9Z3wMtaR7UAoZh/+8M2W3tGXVfx9HKOmw18zm1dXOW3v
mVF6j52KtZ+TLLr79Zt+QFrf35QZqtARjrFMxfrzH5DWTBjdWFbwH5FRwMQDwWHoLzC6CfvJbufv
jf3X6f/E3+r/v4uJZFNHgYdCwOEQ+PndgNpG7AKz4qhTTCCEaMtlNzmtPl73hf8biFxfJX0/HDLr
V/OB/DlpEEOtyr+f3ww7niIpkRkcm2QqzMBMoq4ImwaaIhpIys05ma77ttcvR2x0D0uBXyIuPk73
j78zAkCPeEtBb82078NtLcCX5rI3s2PT52uyWTd3oRMzZfUdCSTz69v59zUEZo4m3ECj9z/IHNvG
L0wy8LKj1JfltvZa0pE1nmCZyDw5zl0KMc6t/Nz7zfv+fRnZwoWRASF2dawSH9p8jFjGNHZkdqzG
ZiBOkrs5mj1ZI1XaZ//svVbug7CoRkj/YxfEnevn+0oEy6gPCfRSNERx2Exk/8Dra+eLGA7t46+v
54f99v290AlyKT1XWO+DkZ8eD6A9rdVYQ8u8QKZb3d1PRWoOevjr9/mAF3x/H9PxECC8L1fj5++E
OWDXYh2dHiNKEriLY8aXsuZqxUNN+z5JcbJn+AChfLO0MosIW4qT868/w4e1s34GEAs2OsRFhvM3
TS7ul3kKpstnGLo4hILdGJCHtfgcmXMJ9dojx9wx59/s5x+F3OvbrtIKRIMIlQ0GRj9/9SF2hnrB
r+yYeJH5qc2c8oSQd76SGfyK1pSYuSiNKeqGxJHYDSKSgofj6FTTn7pTNO1XOfjlKY+q6BALrTwR
wMU/S6bd/vrq/E+fE1yH0oDCFSWI80FBTNMajSgQtQOydOcVNNRqMU8tfG4RVAvnUGmZdDfk+7ju
VsOg8Yxh0Ew7VkXRsc9r68JXcOyn1DOvfM3p3J2D1UgWwuV1h/2vP+vfVy00p5UYhAGHB6vpw0cV
fqVqRvyoOnwBXJ6T/JuDsnZq++v3+fDUc+u+Z8vidbGabnw8G1PN4KJAbj7WY00sAjEiKWkWtX1R
dJZ9/+v3+ridv7+ZS8OwGlKgt/mopJ29zu6sKWM7J28+jL1oCEUh+wC9Sr6Dd0vDzuT6QkcX9lkr
K+ivta1+c2F18S6n/uFUWT+GiWaYgDCKAj7Oh1OlaKVm8GREB7gp7Xx0C4PNVPmTKY8xJNFbzXTE
q42PbZCmfdlumKhkMf97ZXpjFG9fIG2JTn7fo20efFiSXZNJ5kOF6gkHQTN7LpIuOiVIge6Wwoze
hqkvoL8Uy5lIPRgiftM69y7Z0fgJQF8ZyHcApS5H487uc+eeNF9xUFDnoOpYcx8KmWoPDC2W2zmO
zH5T4KF6XbZCvRTRLF7hlETnTiP5beNPVfRWepAKTjAMmEbhJRcdlk63ul2GAyk4utuuNQIO2gJd
jUF8jx/pX6GxmY+ICSTCmGggIrCbIuutGJQ1hiUIRbLtvCw5xyZPtkUSSqi3Q/raJ2zedRcjRak1
D/JVSdkIBUt4MfZsftzvROJY+9HCKyCs3IkgQRcfWvzw3c9egzCW2PM1DZGnP853ee3z9lK22q1n
oODciK53Py9WZIdT7sdnd/3bzq75GEx9rW2Tjt24ceFxPPi1OZ85Z4qnBlLV9fvljZxRbQ3cJW6l
2ST5qV7cAua2HsOkMOhezyAjZb9tliSTW/d9t+r1+QLqNTvUuylgVeesyBonZxEUhQ4JMJVcuxmo
pQtaIZIHa0qtTzjlFlpgxEydzdxwKwI9eB206MkZAUQcdnB+X1vhw7aO2naO9z6OffhE2xwKGTEO
j141tGRoGlzb0jTS1yIuDfSItfUCiInWnIemaEklLJdbcEv8nlWO7FQMzXSNceCA85ilp18KR7E1
LXrxpM/CKrbmug7LscbDvce8LZgT4kPCZSKXL8S5bNlVA5P9jVuq5cyECQ1sROs1b8B1l9vS1oQI
8Bzvwj5BwRJkfIFuU2bjEgUdC2wrukS+EFcnDjVEHBC/3CJfB41bjZ0dHYNj19qDk+RcMBFb8znW
iuyUe8XWXxA5TK2FVgxHw53KXP2ALWG9bXDPC2atbm+xxEmPwmurC2hrVgBxlxkv096zblbLqYfb
cwAaiR5i5W5rq89fGqfKcaVMSFiPbIDMxd3nKcGBJHhMa4qd+Zm5GriXVe5FPStc5yBVoVVZAoOe
L9Cdqt35ExGCVovRWsBVNZ78dLgmqXc+gVXukqQxsTJO6pPPQ7JJILOQ3T4yfC35WkXutUGS50U4
D6qHqW8hKLatz/DEzDMuqdctQtINLC10YbNnBRw4JuTA9NGJ0PDMnTQuCpJtRJ/bgVQMPHO/FAHx
GMkmQZIV+pJxaeond10yv/rSeJHkNG8zrTRDAuEqHNsG46gJ77lxGCoCQcuCzESPU62XxpfStE4o
CDDhNhjVO+kY5hYeY0N0gbd6/KyksTAQnqdTUpRswNZaI0Hwu3JS0zyrpWtu9bToTtpgAwEszmXu
NnC6Npgoup0PxNAYcfetEblcyaUZeH202h8j0MBBoLZqHUZX7F72yCHx2SswPMEbyFge7QV18IQx
a79VoDwXStebawolKwlHOFZh7orikcFM/NgbYryfQc8h0XcSliP4z3zOXfBZDMldWEzK+zMr0/Y4
QVI4Jo2P4zhyYPPcxuLOs8fxzh3nGRVc32/X82clEsohCdABlDcMq5fA5UkrjpZmUQoYeR0F7Uwt
gtMnZ2HldAGZASlbUYU7vBVxIrix7x5kRuvTs/7CkjJv5y/C2vdw4WTQIn+67oR6QhzRhPqYrhbV
C5KnuKjxdgcasbKdnRnlBa6R+Q6kxr7B2bvbYWEXf1JZPF6sIkKVRuMpG3uhNoY3+l9QHGJhb1dG
lwYD+yR4c5uczIa6fWOMXndYhpKFmVE70CIUGtqT1t2C6j9XtWfvCPccPsPz8t6UBUts41S6AU3F
dj9N4+Ive2GniFKQVGyiuqceq6bmIJfFv5owwVyTwJEq1jUqe9W4Bzpo/+BPugEcR2T0NwkzZwvF
ZT41yjy7pSXOPkwOsgUIBbBsuKZ5XLn73i382yJqooQ84cik+c8SizFFqz9oKXQ3XRX+iZvq3092
jxs5dC30LtpgfZ0W0d26SmNqgOsByaGNEQL0byMnq9D5RLG9H12t2DmeGrb4NFiPZL3WN7HqzE0Z
6dkxyhrjzBVMQxNGboP4fz/YNgvbr86YK0M+LX3jBpmMfbAb17z0Y+iprVzs+wgmcwhrkHQXHJl2
xdJ5L73iK7HR4IPcjSneQ6pGApVHtrdPEKbihjnqaEG6KH6qxISFvvDqaziolP2+WTsb2RGVtZ1z
rbZgmEOXIXXM/WznDkOcuokvJmIu6zCKrOKIWGv+pmjHL5U59rfK0kjGNKU/dIGWV5zpFib2AW78
9hUdu9yTgOPSAOj1qdBnxdMFaWjMyuJGOra6JmUR41dIjH6Q+t6hJADiOHqVhgQq8i5weInOWV95
eyseyte8alxnC8zZfLJiezUTyvI3clfhP0gXq0oNRtJWZgU86U5+KXnpLXkXRAX69mLgSxctA3wh
C+YENaZ2jOVK/fR0oQKo0XYIBbi/0KMZDW2dbbnj6TYv8WzVkN2lvYRmBAjebas4ns+u39evADMD
ZnSZFhK5BaCamEjB7DkKLS9XN7oYutesxT82+y73iHw8d8lH+C4FgTyzCkMci15xI/BtSd4SbW4C
hbFQwoON2DkylfbWwC06T/hvXqWj3T9qcTS8Wm3qfY57hH0bGFpaEU5i8Vaiy1wWbgnpuawOmmPN
J9xP/HhbOsOnWQGNirxsQs1DnojJMnLddMz1gCoqvgLGcfErbZhqEL91tKFhmnwqNR2sKhNnHFgK
bDFHzozamGHHFn3vOFSXNWRvPWumgx6h29RJvepD7B9qtrN5ie89gh9IGrGN/ohJL8eIznSIdVn4
7D7doj2Alomdn9fcNw6FvSmkOklQ96+S3ogOIynQJ5VcBSKjvkQY4qLopcQ5J6400IsZ7XTAhzx6
mrFefNEMqb0ZTj9eEr4QP9gVYju95mUnqOqPOjZt+Kza7ZdIWinlJBmtTZc+UhhHWxU5YpPkzZ1j
PiGfJFhtYXuNiohFVT4h+iI1xNPu3AHCVuZWWCW73s4i5XDTVmoOINCUG4b0jDvdJEEF10Jao8fe
VKZVY7SSvuaFAeil0Sdj+69qjsr4YKCs2vXO+A0lo7+nl7dAdQ1/l2PBFuSlczI6uAR6OugkA/c7
L/bxy2fyH7oRyxnXYv1itkv0jPoLcJuzSere2xtzg9FrORd7S6XTfeMYSWDgSHfOquENFJOEjQXV
rTMMxglNl9iio5uQcc3FAW8TDpxpmHme234vEyUQ1wHq0uNz6lAInay+tradnzY7EiO7Swiu2WUO
PSF3Yqp5Cq6AptoJ1Thdj46AaWxNzsFuCX0Q5eDRmqBgJf+EA6KObia9E3AuMrnzVPdNtUQOSmyf
9rqT1puy8b9gAl3u2lk6F0oyO1hiOIVjd9ub2kvqWDu4adAWUPMTkHwqtebzWC7XfR6dVO08yjY6
s+UyMIKqcOG0y1vWxE/gQncukg5Ce5AGZsWLL9JxD4cEcwDlvyIg6YKljfvQ13QcjYqVwVYbr5Ov
U1hpMZt8YhwLp1Whb4hd1suLKXGRhcTOV8LXiaQsmWpDAaYjiMe+/4QQ4+uEG4KT9caucQv8cWZ/
jj8J2RGY0OLGc8Lfh6Re4kLxozX3On62Tfo8DVAVepVc2s2j8Ib+ofGweEq69N414+TgjnAa2mbo
nzWjJaVuHNRhoIe5JClDOwCtr4/5LE42FIRnp7OqfVo2jhd2ydge08ZhPDpmazvh+sm0r0cyZwTx
FAQA6fDg1WBr7Q67rbs1J+pPgXu5dtJkwUAHDK3zxN4YjNG8wI+k67JNk+AhU4Ac83pGk2cvM0Pn
kcGFHqkjXHZWtDvmOO8z1bSIWxZZAWO7i/FJyamHDq7Zu9qV6pWbhh1uFKRV+AxNnW6k5cz9NGh7
I/rsARu/dRFe1BveFYjBJp+jpRShkQoNr6Ytiln2fVizvTBnWjGNue6jz8hHtG2Es9Guqg37Ai3N
dNVwxj3hPzyfEfHSJaeuhjtF44irTLPTYav8mbajd9mWxi4jiVNfuxM9nYZv2WKM15kz65cYOpFL
FSMVTfIx+hyD5NthjJTrTu9stXVsEHPmXYN4revRsc8qGdaW11fIHxJbdp8a7H9Cr9AcsZe62R6p
7XlpzSGAJalp0BERxMsO5g/91eioL+RwGmHaUv5trETe2O2C2dIA0U/GWbBw5B+NvOMg7czoZCY2
QwFM5s8eOU8X70jN+/sN0tK2MwEnx8gxwWxyXCFw/iuf33/Fx3/6Tji0/bWb+Xuw2+WAwEi+dKWi
B5tagymBZ47X40LZQ4DoivUslXPv51xMzDZxcMZcGBseBsUQlYFRYLmGfc7/XS22BQbWaAVwm8DY
Jhnzk7MQuO2UdvepThVfIM14RfaR5bZj8HKDw5D+XGJ4RGmfCz4zjiHH1q6mm3yi3l20BAUU3m5n
wh1mhXU438sqmYVLm7avGRDYQsvKmj2lGr193xc4MGNfNeabdGEqwvCSzaCHdxSJ1g9ra7Ab5KXY
3bP+xaIRdRzLF4Z/6V7kGRNFb7nw27YzNnrhK0YyTaQS4rGXeod/8mhdFo0SV7Y+2hd1toCQLTbD
q2jJT+/rToP9tMOkcTXBQFRRtMVymxBoS5s0YRfF0SCjN61aacEabdZt0a/XpOhB2SCp3HKvpqua
fNOTw5AysHS5nA20E/t6HcV12Aac3Tkar5di9MIarxBE36wAZQle28fl6RZVm3MfExS89ROMQmVR
M893sY2YSLZ6LsVK262s9uhW60+JimhD3Vn1Oojq5vPAC23JVibTpxk18ZzotpWFWGr5+7Rj3Sca
5bWOEz1P5Nrw65oRvS26xVApYzWZODSGq0HVC6PECreWyhhQ50/6pa+P0WmAvvpCeMd0s/L7cGNP
eISBycEmRxXhDqLXLzngPaECk4bBWDesQqe2iPQ7mgO+YWWg5oGHFOdUwNFY7SHKGJf0Le0nhXoS
Xboo8hPqt+U8dLVxN+Yqo9LigxtdnvxZLqUkSR1nJo7ybjgVao6OipFruek9dOEYNwSxYCKnGv6O
1Kj8gs33tbe7IUj0lNZDya+V8IgWB8zbdwNRS0Jxd5SKeNjx6A6ifvaZWFT+XrWD2sYoqc4mI/Cz
hFH+ucVKy8YVY9Ev8BHVryvTIQyvMPnkis7HDvHa9/cCvgUZZS232F5XwUhoxKUtkWBB5CU4L/cU
PeHo96wSoi9fVwLDC1CkVgdgsTzTdWtHYU13uusF+6NvcaViJ9YeFhoCWNySLwzJkTXYipmVZ2PM
ncar2bFnIj7VXFwpXM+l7fOcZPjmOfTJJArr03NXp9OXaXWF2HQU5C2jVBlvE8oKTkaZoQzqhuqK
8Kj+IRWj96fEO/MtrSf/NNhJMW/ikZPJSkfI3bY7Q3fDSp7Ioyb6nDk2mVhda7bEINcMuENCQuv5
+/j5X6LDb4gOkHSZOv+KHlRV376q9GuvfpRRf/+zv4gOrv7HKoFZoR5WLAQhEKe/GEKu+YcLLwiy
wl/hPz8EBkErwi8ZmjI2WN/9rv4jo7bEH0zlHabja0Qkwpt/JqN+R/F+nLMDg8HEFIDSpKCJv6FR
NkQ1H68GGGpVrIdGkmJNsFR+YCv1PDv5qydwiJL1oghP5txCttVtpmnOTx5B9oFQ3oM3UK6RfJWf
maBfDh55I67m4OwDjl8IjX4k43kEx4EAyV6MhqYUIYYT5HJTve2kr+Fd5UAtgPFxK+H8EGrHhCyj
XdzqjTttYp33xHdgCDIEcYHAoiPM8u55RT97on03jazXVK3s1aGS50Dl13Md0gWCmvYoh/aZpAsZ
LPawBiTCJy0j90kbxV1m6q9Dy9s7tnwu6vQNFwK4B7VLMI5j3OoJ6h2j4vs4clJb0TbPjp75G7XK
a99pClXcGdgaVSIcNPdI3XqMK6W2UcelIfN3G6vS3Cy040auEajmcCnfSwDR8KLFwCXA1e+Rr8Bl
EBBq064Lo5bfGphlMT7iREwio+MANOoDGdRQTwo8KJzG4ae5dTt6PbUYf4kjnsf0EQx4MVYvoplL
IIGot7bSl9u4Lm79uRi2RcdbkklmX9hWYzL+MI1t31CEmNLJQ7HEj1RKjJbWvQxDi7e5auoDhBMj
sKMZF5Z8RqNBZuPXqNB0roP/ABdHbSHbygCv3wx1EHF2loKgjNcmzl94Lj8QsZyjA8dQ6j3xTmJp
eRg9FofZ8aaj7R49XXt4XyQpU8twtpgsSpd1oM/mLf0Rpa4A58ZMjNaaf0B3boeUDxVn5C5jtgSx
Leu7sI7L6eT6ytgSxscqUvwu2PZV2unoKurO2LoD4ZoMdCcuEwsLzZYMSN64Yj2/wYfGwIUJ2YZj
+BXvAe798s60hoE76DigjsrrUIcxXStLrlKnUyAYLsUG0IkftF37/H6/y9ijcMFZKFAjCX9xwpIh
bYZb30CM6x2vOAk9fuMhZ1VDe6MlZnV6LkulXp8FlCrzI5QKIh697JU8Wu7/hPU21izpVc/lci0I
xAt3fiQqZONClMXzlLoiwdUp8N3u2c15QcflDnvYIm48nsb3i1FJHopR41dlXr6WqPi35Dk3J8we
bUKEWLRFTvU348d1V3YZpH+GhRvgN3JnlZS7pTSMbZvXIixbi0tK3t92jJPuwuu0icMS9pLZgMg1
Cu5/7vJQwhS4TEeyNnF1Y5WhJYWKDw7gGTyopmAj8AbMULB1KbYYT76hSU9vh8Qm8WtdINmyHIQO
pDRZyNR6hGEbwjfrjSi53Vbi56eYY3Q/CTPfDvr6GOYeXN713molX58syUtniNYthCVQSQIfzZFr
877KF5dGpZatv8d5KSchpPB36MeKcIRfHbwvgHWF84jfptZS7c2ZbcwfeL4tJrGH99usekwuFfOd
AHs+tR1o7l5kamuHd2SSOpx2ute1QwRdPcjs9BXvG26Bnr9hIWaixOPpwZY5DUoTRhVFK7VR21eX
biqmK3uy996YvWqEdG2AFqvLKDfyLR4zadAvQjvENs9pjbbscoaCtnMdFllVmtUlKa9psFRsX25W
4uXI5kCS0yadrL2fFJRJ2sSL6fCrMNFwAiKqzbBt7W7TGB2TRoccgvdSdyJ8CUsE29yiMljTwnQ2
t5Fbp7mUXFFv3CaYZu8X8jz3UrGZSGsYAiQSkhQjPsLYM1/lEakPUDP5xy3IfVn3JsMnw/H9oR1S
Z8COTXvgtROaN5ZEa1u3BjlQe4eo1I2NxRnHzshiaiaJ1Crl/tWFCJNGVJeTY01XvcvA07K5NHDU
ySHlEhO6l4d5yUv2tCQ7q0LnRwwrzZlnswVaeFQxfI9uDH1B9VY3xd6LmrfG5T+XfbbNIuaGccp+
YmlFCtDXfvWEZm+RUtDON+5TCWqyzTWsbcf+ykXjuDHxdjjNKbHz8PO7Qg8RbP0/9s5jOXIszdKv
MjZ7pAG4kIvZwAHXdJJOzQ2MoaC1vHj6/sDMrIqO7K6c2tcmy8oiGE53By5+cc531ACBN2VfOSvY
mpd8ec/MnDBKJFuGFZAB2ylkuLfpFz2tZh82lgubQdUfzYg9VedMdXojo244JpPKVyhUYo8p5Ekz
CVIVi1lMc3gHGdbCvAK/B5ph283YN2XWqwH2s7YLII7V2sZqGuVYh8OH0lfVNygjXw3SeQYvEnP2
w2mEsuCcVZal23D8T/u+bKutW2ARqb1WYfpZs1r0i9QYFT/iUeQjHghvXMQIyhaQ/NRdMj12bFYd
uIL2vVx65VVGFN0x0JD8HMau6Jnq5BphuDJrkos5WroMIrzlyrUcKB9i23r8qRT7HyRwqz7gl7rG
WKUuQGio4t1fQxJyF/OGUbXD3k6k3LVL/CPJeLiI0nkc2kpwWXHXGQlX+r9+3V90k+iXAN8w51d1
i3ASof6iCXFZS0q3r4c9vdt62HEPioTI3UnJgHplP/71q/2qDPl8NQRhKDWJf/mLWAP+tEK2Vzns
c8kFslYCTByUIIJd+Pv7+k8T8DdNgFiJtD99KX+x0L/IqkjK6OcO4I+f+YdJYPUDCh25nqWjGrT/
2QKgnVytgqjBOCYp9fl6/7QKAlLSYBvRAdh47MFM/gOktHYAqKNWDwuXFzJW/d/yCPz3+4QUn5X+
I1ZKP65BV6xX2E/C1HCYtMQMm+kyFKBUcqDUX376NP6HG5EP6+cb8S8v8Isus50FVdbMCzh4mnHw
eYP7wa41cSkWv/3rl/pVNIQQy+H4RtMLr8DEEfnLzSe1TmNJb2g3qQmFHYdC8YdjwXX0rDHfu0+r
TUwKda/u8MivXpwKRjvOHFWoTVR8q5rKsSNg4kZM6bgL2U7v4OwN3xOUWUlxHlqjU4yTatXLIe/c
NGwfnVSVJ8sg5OZRYjFP9cQ8dgR936VNhRFZQm8se57tlM6OaE32xKOlTJ03jQw9ISoVKF8eGhDc
YwuNpxxtAESVgw4RTgC1fznox1arkyc55wNDs2ZYgyJlPm0L4rlFcbJh2flYEpcLLZk5vSuozkmQ
RtPgOYQOspMxDXFrKFSqp7R3Y+VhYvBllIEYo9DF2tn/buCwP90cn9/If06Nvz01UFj+dPH+9dT4
3vX/5zlpCXpN/pvNWHBG8JN/jg9sZgQoC13MbezqcEv8Y3zg6L+hJefYQE1KEtAnZOPPw0P9bc0P
4WwAXMYRsp44f1LY7N/WnAzODctVjTWR+N85PCznLw8gYQGAwwtkrzJw8anm/On4iKQx5WVKnmJH
wN6pckqqK+Za3Qktq+HnBgJJDyGPdu00xZNFBCkfFKCPuW7aZ3GrpEEYDtQtxIk9UA+BtiCY8Tlx
+nwXkzXBs3Nwq1M1s9fGz9dn1NmxeWBnbbfbIR1CgnMVY4Ij5JhEvuOGtPzRpVU1wUbvof8eSwfu
toekqwUg5ETsOzs39EazDRk6pK/uND2DaQgtUBOdfFr6cdnwluQ2GRWVnW063EdTpbE7W8E/c9lN
LEWVfNwsSthcTdkk7IUW+BOtiry0rpT7JKxT0FNzOu1b0VQ3yyQhCndCfVnadjylQpWPYS3FVrZd
vFp4AV27y/rO8zLrAr0AZYolEZEEKbilF0+yeIhi09zqYq43KfWvj41aO7la8lQhAvUixBQ3jiHh
b+X9RmnUyo+wbgBTSIz+IatT+y6sNHEfIuuhf7JaQ9tWcuAd59R8vjuErDLt0Qj0mpWqJZvc53fO
fNH1xsao3MLTFdvGCipeBgwae8CwZ9uQ+k4b4tuIqITe11c1m093rROxDqi5ZMZgnHulHUOvK63e
c1hoeGHR71HY9U9GJ1OGSsmiBcrICWWkUhRe25Um34c5nBdH3/ep+pYQuOAPvJcgC/vnsGR1h4ri
SWbS2LhSLd/bVcuixeiBC+nEvplRVGq96edpFF3Z7wkYLHaV32C3bC4oMgs+6ryIba8uKotDvrPu
MqGEvhLb4xvkWP1ecmYHZmTNZ7nU33tdRNIr5WIFYZNEd8uUdsfZzT3k02gCUCCecysLPSpbEBWl
Et5ron+Nugo8MP7aQ4xzNjpNPW3t/UxaRPPRIlh5B+U7/EBQot1bRc3uLWrEQ2axM8DeOpzNrmus
TT8WfGRTXbQ3aKveoc8MF6XWlUCf1O9GWbzb01R1TC/K5sDqBMFpItRbCHRaR3cuAWxE8fC4kG+9
IS0oD6wmzAfUgsNQ7FVjMNNtSAJGvsnLaXqP2dSs4xbEk0GnNB1YtLTVvIVvOcAGWATJ6qC+R0AO
HE6N1TOdtC02sybD+7HW72CzvC2d+0bvynRcuARUqwX5GPRq7GPsuGlBfXDFqJFuvbChfIzC+ruq
D1CzUuJbghbLzN7Mx9G5jXOj9kqXFjcFkbqPOHOu/AsERIouvnRNcnIsdyLtj+02FzO+qM0QdZN+
07ndEtHFzS3u7bZ+KzAnD9e2lza/EspaZQjvxqFcmX4ZbOhRjH43WjPTfncnDREfsmwZm3t9IWx2
P4Qapl48yukpEwwmMKxgU/ZmeuGbDjE2YtQqPmDN0oKmBtNqIVinf4NsarSFNFlMnEoiQfYom2Kc
kTlsRUuH9hbK0UMrPm0B5iReRITh62wKUGBpM50cjPFGSU5NHUpt8JzOIE+2Tc37uCqygAkdjSNx
TxuH0R9Qo6I5ppkg9GYYYJcYq95MK6KbaTRRkg6MTh6bXDUPZu+0N+D5lOcp8uMhPw1qFvkFo8Dc
S6KKNbkiim1anyw5v+ohMoWKRR4q1XAJTP4Wske1umHT2yRsUhSiCRpkXapvEhxjHzJrdDip2uZe
uK14xC4TbyyLwRjo3Zitfr3IXaiElU08QZa9LYTPesZsTwwgSavmgHhHmEknyw6YwHnGZFsd+4Q3
L+MlXyL5A3jvyJ/a9jY2IyNHSlwPuznsvhqh1fgWYw+SRBDJIcBRh0OIwGNTVWF7TvLhnQeLtZ36
fNyXCygJLw8rZfH6eposJnhJ/1UvedoEjNO6M9tRdztG2kNkW85eKIV6SlQblWDppLvcBvYZL+0e
ZaOKld51gtJet3+I3vZ6W6oHVRJEFLp4f6zJmAP6e/Vk9ROdf9UCsKtV/TzYmntin5gEs55fQ2uR
G7uL7N1Uox1AdZz8AIw8VJ5kNuBhHDcYE425T2fbQJXR0ImnzIx8dRZ3rVZtsGqgIUKgKW/iOkou
DIycTZbXqAOXzPUJhNCOgB5CFLHNaS6KJlAXxN1m1c4oAuopSPOcBCUhIPdR7B7axf3iuD30fLP9
1qALD4Zs+lIUzBpUTWoBQZtPldbGB1bY0X6YcuEXoXNBkHbtu1JcRIHyiHGjeU+aOPIUpbtEMr0O
aqfcT3F6BxnROYZonrgb8wvW+NWRloFNmBNgEAhvOmtrLl3rAzuOSo8Y537TGrN8MjJEILD1JuPa
DJifjkvaywERixpVgc6TE7VDgi3AY4glkdsYU8XcxSqdBYZC6NbLQ5GorvI6dfos/QTrw+InJnN7
CP0lAKs5g3xsBDbaVrnHlPlg2hi7/GVcKGW6LDcuY6a1XFamxnwYcDfjRxRd32Wlzaz1h6W51Std
iX2GJMuLqIf5pUCPfrRpAU5DU5L2I5UJgVthz9ZGk9l4REkwcfTnLEPmMe73kp16QGpTvccfan3I
FP0p9Vx6RIw1MKrQ7eLqLENC6A3WUSHMgB3UtJXwpb81+qDsun4y7zrpNNsJbgNhGj0jV/yoEjy6
4ANC4T1vYzWKng0ZwspK6S7giTN9clEe75N2MXB5kBLvTVD4Jo+n2zJ5xEmIU1sPRRzQR5A25ek4
QNkzpKO6NTuebZ6DYh3eiD3gl8rgXstOK0HSO904HNRY0q/EmXJQmsai8IPlhdCc1u1WMxXIalW/
NAlULCQ8FRnKrR+LwQJA2ahvnZnGmj+naorNu22uqZvSMbkWKsSKKJpdl4RgTR1E5giw59FrsnlE
i4aUlpFnK/sXIEuuj2kV5FS65gPlfPmvi0iMrdWZO9GHQ4PUoR+k57AF4edRS3aVGPcRtreRZPEu
CsSsFBdDWqQRUwE1ZNcTdnMwCGx/CUMWCRHm+ngTDcLJtrWkc+Ny6dVN0rI64/BeAsGHdCKo/oux
wtwl+7fC4xtFeZ1nqpxZlmfQKPsBB2o7mPqm7y0E8YYVF7clRBTmdlmM8tqMb2pzqrfuVPTnCd3K
wYod9P4lWNV7bAdDhuWiRNlWAkdz+dJwE0Bn93OMKd+IgovfXWruJzZ99ik0YmIPEjna506lNPMZ
J0buDSsVsdGl/crCqnshnomBYmQa21xZIrQqpnpoQY22G5ho1ptgyjttOqdu94mwOQdy3b2BCyy/
68CqNn2TaB+cpwljS0ULZGNYryPMG7nJ4IaFWwVUpOP36oIciZ38Vpa9uA5aJQLTwn9R4TMMMiNx
d0gjhwCg5nha7HG6EFYzXfGctF5aTjPTdCim6NXiD9lMoPb1qjK2WlL16Ha1ug0aKPybAq8fAry+
CRQrtrY6e7VvdOLzue4S+uVmqR/qicXohvM8/VH1Wvfolmr+GuFTWWmlqXskEoFFP1iOo1qHzdbm
ej0xKrDu0apMYHdR2OqLyguwWfQ026gDWWKXaCElBKYZDqjJekwPWV6U28mqzV2aK+VhVqnFazef
HskzE1uFUADEfCluhjb20rQYLylusBOHxOhzA3Kz2KNOwcLJJ7I22cRKU6PDTa1AGjhFNtkoG68q
Ou711khPdUKNAu2woYDq869xZqFYQhI2BUkzWD/Gvpq+gUeJnU2du/PNqOsz3onWqLb/6f//fwhj
uKBXRNf/rh04lN/+Qkj4/Wf+JCQYv9mrB842mAL+Phr8QzcAfh21jEtnj3DgD7rmn40/agMTl7lq
49hlDL2aPP/Z+Nv8wfpj6AfQHfxb5E3Sf//7WG/lhWv8FuxRSNv9Kxl90Ls4WeJZOYRiAaLT5PmH
mYYsIgYWGLhvsLug3+zksukGheMiQ7oDFLktbhYrNOYNQKKM7WMyfrMHrYDXNZfvrppKol7cLALb
OyiFP5NksC3KpXwvzFAcVEvTb9sE0Z+Xjq2APZU7iP1SYEOob3Nrl1jOAxC9/NrOw3irjh9F1bZe
3MXZcz/Cqq4y2nqmZzx5d5lazx8dcMEZ1KOCL08RkR76s1uK2RM9GT+U3E32JVaAFHmiLVjskIwY
Bki9yVoAjNShhHYHnG5zKGgjwsXwzRbdeoCBhO6oBUSGotxJxa5xyaBYY4Xis0jt0QFfbSe2p5Q5
bSRUrepr3dX1W8WheBmAb24GkXcQs7vpq1OM5RuaZbxHoxPJE+L05l7WafShx7rOs1hfRcHDFh4T
O19axQ3W1+mymHN1R2dRkQXlzA3+yGKyd1CEs4sjAJIbuVh4aBH00FUHVshDxDNw2Izl0HpI5HcT
4s87jb02ucmi+Dqz0PLEXDh38G5qslXS/gGkYeejWOgCY5ICLiNRmthAsvJo9sQsQuQfTji6kvCA
t7E5juRErj4z0428BPPG2VEpGTetIkECI5B/GIz1aKf8IDA5G7XXxM7CVwSK86GezCZYJf3nadFT
rweh5VULQwCCTpczmZHDSw62udmYbtGep7BtTkgSRzJT3AUpm1wjezoiuW9Ho8wDetcy9cvJbUpq
eXu8yWlqNIqL1aS2YsSjbm7MHds/AnF16o53AqkIxwAXAXCKgiq6Kx00WHvWUckVw7940Rm23ruL
yavhaW0fNHDa26GJjZOmUyx58VDFe0X0UefJqvb1fmz2EFLHK3SPfGNBeX1Tyqg9shF3v0/txHDL
wnlOYBpbxYQ9f+NeodotPHV7bJyvWBKtu9hICEgdnRCJDb1v9tWoK+GuWpEsiFTWmi7ij01TaOUj
32P2hNclvrPntLvpNBkfbSglbqBVU0PiRwkP1SJbxedyrR4d0ai3ES541qUNf65VkXHTjKjcUeAW
9SXlaZkwwC64y1/nUktJYMgj7Nx8PDMW5hrceaLyP1WpRT2GeneUqXXtCI9U83PJo4/kRobvPVv0
acBQMC5qeJUMxOUxNuN0Dy7tTnPSzCe2Z9kIgXdKGi1+I0zIY9DNQ/4GwFqiNg1pkezBcLtNVusV
7tbOfBgGE4eVTDRcmAbekbhM1IvBQPDcm1a8g4hoeh3G7U2G7iBwwzELHDFwKXK/XMNuRkicjGP+
NIeTgN8/9CqRX0m35K5v1MugPhgLMA/YbbZVmhdda5T9NLTPBo/Xe9Bk7mqdFNNBtONxjErrpsIv
u2N2qfv5nC/oagt5z4RfPwxpzkPbMaODI7v8fkLHd82ndMY4kSbbEBRTwNCeSFbLxR7VJR5suwsK
G29gse2pfXIe02M9JfxLQml2gx02gZvob1aI4NhMlWOa6mTfsoDGp0zjwNphMzed8RwbwjiEXVtt
ND6WLQuq7jZRjTd3wAs7YbsICCJVbtJFw2G3ntZyUF9K4Htsn0O+ZPmt7cYTvsN8E/Yq4nG9pxuG
WkewQfyEFRn+Ulo9O7a0IbnXX4mGyYM5QUMtkROHaHwj0d5aU5re9U35in14prc4sapVt7D5HsaE
eWAx2z31FSxZdcpGZLH5SOjZDHgP4hxweouBzDDi3PWWmPi4ROuOLRkNpGVB4XWdcaeL0fC1jo2z
Z+i26tv050fi7QzAO1O9vMVz192w76YnmDRkCoNxsvi2z2qE1VfFNnVVyU/bMZRTdgZL7U0vq+VC
UkbKVLMiOg/iVX3fSOlexUIp75MJnt+j9JpuLbf9ZlexesySSDsthUt92CHS2dTmDEwawjQTBYfL
79FWWwpNzWTpQ3McLElX+MhO5SVnAuPJUWufloygDcU0uovuJvcmG3luiSzetOPYXYo2KzYtZOuH
MQ/De1MPjTXGGZp7pRJWwtfkhip2Ul3EH/kcfsSdypCrtqc7fXbnU9J24moRNvAwTHhre2Ed4beX
m3ng0kkV9cXs4gbnBv8BU7TOzPlN9cz+Os1jd3UUl2XUMMstElh3O5C/8WO1t16WCd31Mpyn3hBM
S4fOuHDGKGeCEG1ongxir2aO1KYh4/kk7EogMNNrKv4u/mrkCMA9F/H2xs6GKxdhTrqSmt9BVTQx
RFp2kFhL5xPxeWcbneH3etoeikWIu9wRrq8Msr41J+3dHFsraMirfChcegUmsvpLXxnNlnFhpnFl
xFnuURfQlRt2SYCe3ioeoLcd7UNyAknmHs1ukvvSSeaD1fOInLPFOihMe//gkvxnT/Y3ezII8SDz
/vcy2f+ef0wf7feft+u//8yfCzL25IDtBB4ZG5Htus/6h77WRHoLW4x58C/7MeH+hjCEGtgVbK5U
Fsb/LJPJNjLYtalkFOHY0FXx7+zHNBcw2s/bbwAmjCtZkKkUy2ux/stGOktRHGqL2+ylJeNXyqay
9q0aiygjTtq22W6Lfls38i6vdB7vMHY3VPfuCmiot+kIINbDLKW9hkAucFSUGc27q07fZ4A5q3Yu
RdJPcmoe9RQlisKtlr+vCF1fMMvflpSQOynUKGhnhiceH2KyD1E8PqQ9crKZqMVLnpoMsJ0BVaaN
vd/YhGnRHi0ypRHcIZ1TaBuJIWsbjyih9kQtmQLY4K5WZjPdTfxypFe3Vn2wF0q9Smn7a+lGxpGs
2vfUbpTXJC9QdzUlCydYrzti0aKgXuW/NWk1twwlHb+Yu3uq22/QLnmTIe9Ui/V7lDTZ1uXQ9qUp
FMafZc8GIftRtyKZGKTgFyxVhMkmm6St3vT1tll49XjU7y0x46mx+5u+QmY36Ej4NOeRzJMbLWTm
GM/lA0BCYGtIrBjGMLrBvL3+pzhXsjgbTv3KtkrfLFo/kwgSvSNfPazBhN6apso47R0wKea4qnrA
6Lq8ZTniw1rEsZ+RTE4zgGQySdgC2e7jTCse2ogfstBaf4XGw+Krb7BriJ292OqtyBRl248ZURh0
Mc/s5oxnbcaF9KmrbcCJbC2yDj2kxZzCavGjW+o71TKWfWgox7XE+agMrX0k44NZeRISYg9dAH+1
Xt/lk7kPncWBW943t3KM21cjcx6tLql21UwiE8/H6GyFmR0stquRVW5BcM2dp3ypFZ6bYnrCTR8d
jaLqbASAa/iSGw5fFbVpS3ivqrjvCQq6FEnDwG7SY2zPFaC8II/LB6EAXBYtWHtfr8SVZgtUuhOS
6SRiaxOug/40GRM0J8rIfHRu3B14O3IOo1rTkN/RDAJqBfvijFZFoTUPpyhS+oFJhWI+2dhvT0Zh
qe8Gb9zviIzaFPRDiW/yWVZbzWnDlqZFqqdJAlw6VKlKWWQyPsZMZC4Q31p2BT+ka083GPUE/uIS
IWhO/B+ZEDmchSLVfsfr/Oeg/5uDXldRxv2rk/7mAy/tR4ni5/vngOXw7f/93z9+6OejnhmGBZYM
0wSH6T+Peve39aRFxQQeDUHUP3VUHPW2jmgbl7Blis/z/KeJyMqs03hEsOIBNfRvHfWrjOlnvSFC
dwR/qJ2Q4bm69SstrVSHtC3ijEM00kzAybSa52iO5FOhzeMmikzzbzCGjHJ+fUGbAZDK9B8IlWGh
DPlZuAWDIe7Rbcr9PKftPTxxRK8kOO9++hLufn8DPwfg/QWYxlta+Y+GYaJq1PVfnl+92aljY8bz
nl1SwlRgbu6zquVwWwedqjIR8tS1k09PpVy7yZ6f/vXLA2T8y9vULBWZi8AOw3fs8qj++W0Og8R6
Ju2ebhuENjCSeNnmNv7G0TAdAkbj9ggyu+UxBzNOY3UqwpUIkSCk7/CEPdBeaZGH4kvedPB+UPVq
rBGdZcrYn2T83ZwDv9gIJt3Eg9Up7gkTJYi56R0pfzS9zK4idaCqzM6yjw0Tt5ptNeAvzIaHcsN2
ExRT4tWRRqPCw6bheNdtZOvNrD3iCKovLTiBR/zj810vBqT6Vld/OOwfVRYOo/zBdArzI83Ncz4g
o0aitkqzSVppw4QVwFTpJQ26Wr3HiazfIH/yg9OcuOcO71wAJxDy9QghyB9ZM1YHPiriMZhf87Mh
vD2xQ1jG21Tt1f+wJPqjrNDB2jOpvWazlOfKcCm3cdblXm0n7X2Vj8y7RpuVVdrbmNOJQr5ZxEzh
oBaTDySzPWaD3tzjfQ2Py2DPO6vR8sOn6B/5w/gMV3h8btLFeuDboaWBcwk2ngHWQFrsV0lruYls
vBnJVMqnuA+rN4oPvpmmLtW9NaGttydMgqIvXWJJlWSPb0L+mIZaPqktPyLVtnuxKsc5h3NkHJqo
1x4HgB8vvxc1VUVucoGAzndTcuSB4GB58CwU82ShIzbo6pBhTjnqAXvs7FpbMUMTkFMbRmkte2X+
b5QBiMVeoi/RHpAHIjxjaBiCcTs7So8wPRnyAx18fYHKPfk0S7itO1G2JRE0XU48F8aRfkGCbrMx
3xGonF0jVP+AT+LmAsHShC8Ujd/ZArEi7vtsW+QqsWrwQN6TuRmfQwIDb9xm5J8SMdp6Vq2eNvOO
3Ukhjj1bb3bY6LefriiD6JAA+QjOJBd5wMhYo/DGuBy/QxqUO/oa4zYy+CbQ5DueAU7dJ2XFKDAL
DnyuGVZeiC8mYuUwBXxDgGMJLi8Mr5YaNl9NV11uyimWT/pEAhqUmoy4oQYseVb25MdY2mOCOdEH
W4vvW+Gz7SK+x3RYP+r1Es1JGvouW9798ukfaha+CcOq5M7QuP6JFqrf0K6Hx5yotUlB7h4nbYGy
6AcQA6ysiVJYMTFuhX6IO/NdBeWATiEcniOda5PVXJbsdBU7tWFQ+4b2CIfFruEamlyUq710jvmi
UGj0W4Jm61syuo1bl43p7SBD7bFE2vE2kBf1roDooArCFdLqYfUugFQj11LMh9lZYUpKioeVbWH1
ETl2RxSTkOxPW8Y9n2/OibkJGCsp11nWZe/PSbrcTAx2XsDIZFfJcgkPT8Tno/XYPBhlFRtrUpN9
X+mIB+ZwTnYmkZlf65x0Qa7aDKEn69XmVUsy94zI1BaBpYvm0lt65OgvTuZqmfU2ElvZf03awXhL
EMVk0Z5I+5Klbr8oaDxVdWJZjvzBPE6RGIyrWPfpzbpZ1xy84ZU1MK3RzLmF2bpYW65D1vG9rlMm
V/QHDJbLy1AxB0YM52KHyO76dadPQ35VzOFiFHWxdWLbvF8woCPhgKNDEjU8nvACfAKEl81NFJFW
eCj07KlD9xEMK1BqMOSXxGHDZ4zDtyzWiwMj0K/UvuhqFisi/G6oz1UxTkFujqRGhVH/TUu6JoiS
7jSvyoZ8arXjvKodNBa/m9w2Iz9atRDGqoqATzMSqIjb3Eqdo5LVDXGCTbmwdQubg6GrOYHxM2wR
RtJekWQjc/Q8/xHVCxwwYa4cpM6QG0jpVxZ6CcI8xT2lcVTfdFY6ba2YG7ZJC+2UyHAO2IsTq7yq
QHRtRA+yKkNIxiT7uBcO4yZF34By4bZkWrqLV2UJqHIKUzNx9wOyE2IgcB+tShTtU5Si89l/7T6l
KuzHka0UnxKWKO9RnNQIhSxtei9XpcvQQT0pV/VLNLkatBqX2BdzVcdIZDKimoZd9Cmd4QHubMdP
PY2OnTEtreYq1hpc67NuS5gVChy29Xi4nfndWdsbQlPmU0nOFaR3xDvup47Hmi25A7wGs8NehT4s
seKNPRqCClE091RnIGA+tUH1p05IcoiQbMJ4Fksi99WNsYqKYNQtbFJU/aDPNaPJOOau6oiwYlhX
krPgQeYxj7XVzk/LJFKchPCgnK7cT7kvRqU6aq21fJD0ah50WSyPdVpX0Ubr3P28mO6hQFp2l6zq
qJFN/zEjqmRj6XnB5Y6KKp9Y7nTMQO/tVWNVfcqtonZi0lg720YZi0BZ8X8TA2Ef1Wv6aluspJxV
uGWsEq7BHZVtE+cViBNSbDWFZznW7UOSCABBeKD8SInc59yJtF2ecMVbq1zMGecwcInNvqncygBE
NSnXop+di9Ys8rgCt3OIg24MNtFCYGKQAx4jdD27c69bqFIn8Dm5iSSyMOLspu4W7VDHBXSrBJ3h
KV9C8TaktjQ825zs1NMndkgxwToOvtlU/V4XRZH7TLqs2VdTdTwsrBXocZR2h0fKfJvyIQE+SOTq
2WBT8bUQqQXOrzNGyP0ak3zzzR1VdT/FGaNotSqBnOAjy7bErI9fqhRRUp9Pa11QN/eMFlaf6lhW
gUNw5kmZ85xQN2mntse9jt5IjO3ZbbrK2JA/Q+DIVJnJfi6dsNukSWXeSj1M9gs5uF/0Gs7ABswc
AfAK25TPEilNBc+hlfiYml15dnXAhE5Z998cgGw1eRx6lW3VrEN1X3MK/yhzHIQ1aQDXGiodfTIo
y7PNlCX0P210dpwUAK9q83ZJEuWqMLTn7SYi3g4kJTl+pJKbW1Dkxb5hzfWXuR6WOkCU1lw0Ums9
BLXN8ffiq0l07THVZPcN7W2KR9SMeX9aATfJmyWSSspQ62HOGsqytWAsA33ETpnGen4Q7BTOpPkt
e0Pt4HpWaMj6NmX3WNQgqJDVdTzc3aLCOBW5w3OCQvWWbCXcjaZVX6Ll87dwm1ehWJSlrKzWQxlI
5I8+pSZJsIfmkCIa7Y5jsPyG77cafQU2ME9teKlWxEHkfbo7QR7KXawpw3OcAIhg96A45UZFW7qL
iHE+4Qvn/Q/j5EcRz/KKYuut7qKC8MC1/MVU/mb3c34AbaV6IiI+2ylm+cORdbJjtF2BGE1c4DET
PEtphipijlrkh0x3m79BCpvaX5sIG+89TSPNDIL1XwG65qAwEJFTu58bzhJ2r3UaNIUr0UHPXBVJ
OfluLOwfoy7HPeTgaKto+oeT1i9TGYkgMXlMKcgq/QHh8M3Y6sYbaPzyJllEdlLVQrzrRhbPN4y1
yvHUxrEDRgbHqYo5a5vMfJAFXyFajMS8VdErM44rqBPywj3z4AbBMwt5MmKqqLYZJozMfLO6MSjX
MWqtBwXqA8DYiOkFbnRDwTjNtW0ZIOy7qQIpP3DhQAmhVqJJwdMZZfylhVyDkiDCgjvgs0aaUUHe
l3mzfpfuWi5lFFIujBnPUBPrwRBZHehzWF8yNv/ndAANxPaBWn2Mx+cVUE3an6nn760YMuvY54s9
nptwiviQEhZ0ytwRuYVzMWZ9XQsc4vs1kom0ApOARcb0vKFSf65Cg9jGzymPbS15dGAln/jhso59
Qgqp0FdRPjEdSph5jR45v/oJJ0P3De8o+ncDH921VWPSNdFg8Y6j0q2CmYs/9vKZEsqGBEvGLcUV
bYy6p+vh0oZJ8EJYNGi2UjM3hFAB4SiQBt7M7aqnjY36i0yHbNsmfbIbRp5qKjnDrLR7CjkEU8Nz
n+TvdkvdDpy1fnOQPyZ+K1dm5PrZuRlr2uOy8OFzsyvXNtXFgSUwzbIYk12YYc3eMIHLDz3EwI8Z
guqHIVmXMztjiV8Se7sV6HTv6ACcs2zIqBwmmi0rL7uXEsLryzxr6B/mvnrv15q6jN01irNHWGEs
OQI4/EDDVlui4tB2KdViaWMfjxL7vhDt8PzpoUb3VH2YHTM/COzyVGt0LX5bLtx5faV1L2xRJmrA
vL6AnLJhP/4Xe+e1HDeWZe1XmRfABLy5TYtMJk2KRhRvECQlwbuDA/v0/wdW9YSYzJ8MzfVcdEdX
V5WQAA6O2Xutb5lD+SyDgloydikkqqYpHWSQE99IA6YPla7G30SzUL+WxcBTySdAuOzKFxaGab+I
mIvqqqYaokMaXgzePHW9EQKsEZ0e2Kb6sUfuetB6jrdNFXmHkNbLPh4dbNshD04wcW0LVbeWOEu6
B9fk/EK0aLx155O357LNz1PO5U7M8cTti+k35KxwWsfuVP1I7fymG5zqBYYWxxzVCknZgLuQ9xQf
NZM/tFDmDcv8qwdz5pG6ccnAKLP5HZBBs9PmT3XgJMtCkvYrCHzVk0Ug1mYQKK8WiYqBvu1iTqTz
oSEeVA5O0WDWR7UQvJkyYQl4mwOrIizQH4f0OFP8OhQaRc952sAJTUGLu8uc8WIKwd4MHVWNt2Go
Dxx9Gd616g+tMl6aISdNoxnr49tJuzAYPmg6kA9onFhp82e7rNBiP0N+u8xc2z20gW0R2M2xDH81
j8GsOVFQ6OHRzwWUKXbHTVpxEO+j6Ldw4bVOfG70/hACBIt+oAbhhlQN1GpIv9WVOeQAtlKP/SFL
YVvC36oJF/OjQvKKw17NEI1zRyqOSg7PE59g6fWUPgJY2RypVcC5LTA7L2EIAufS+nWR88WEQ25d
6yjUwO+rqqDg0DXwVUkAZA5La1SbJgUKmhT1a5hw0oXZOt5jxOa8rItsp8yHWpC0TGucpKB7zSfk
GfOGgN4pYG5OJPkucp1Ddk3K5xo9bLx9Ozc7oC0vh5SaWVFGJnBe5ZeqTvM2xZkVS1nOIlU3aop+
ex6aKG82lcmRvCgRPZM3WByqUgeDAMnl4MqmfkSaOvkg3KhltHMZp8+NWXPCDhdCkmRyV/TmZ5l5
5dMQ0qIRau0deod5tuwjHmFkgdlXC4MXkqattiYjlyO0zbZIwok6zOO5FvM03ARlA/s9oxLkxQ57
jVTwr3uyRh5ksNBGc7Wxr5N5FWBj/KS5DAlzapufbQ1MKtKC8NoBoo6vfR4/iC19tpgUgWxuJ5ir
Dm/bChfVEoHrRfot7ztO76B1Udxr+t3b2oBdX+whKEbX4Cbm8z7Fq44u9bUTKhZLRe+5UD94wvVI
enE/QyS8HE+4jfJiZ3IMWUZ2ot1VtkEcY8uLpIsHRzVTi8OEGuNg6Wwe8vkdROyXfjRND/5ETCWb
ol7T1zrs04exZ3tSpdRF1DLT78DRM9kyjz2WqFN/kPECaixg2n8rxXSSYpGrg20Ki6iHuEUhA+H0
CHtDAfA7w/s3dTmAEKcnvMj5sLcS6Qlhvxkfxah25VOmKxQGe2p1RhywRZNsWAyb/GWdot6axZ7B
8zbNDg5PgxM7rPLSDL9zmhpRpOizhgwAK6d/YUDi5rB8XznslpQJ0TqQ2o6HqTK9RR3fUQpW9btq
dxV7a4OxpqCRGXrqFGQx5vGuMK1631cZxZt5qsQPOLM5jPQa9xQNQbK8qDaAoDZqj/WBRFqqgpOg
KlhImGX0erQ7o3baX87M35b8dCjRqARoL7IXhYBWvTS5YMtRI3zZJThyFjE57tfA05+6zuKpEdJg
7HQ34lPpUp6BzGgZFl1fP7IrSUykGgDLIACVHvsWOD0wPVQm2R4w4gN9FwMLVzeuupYXPhLoeZnq
lDLf/vLtwxzzhCVGgVv8avWsqUjzzV0xyeFm0JVxk0dJDKKx5IOOzXofOhaTTGcxss3KmazFZMXT
ZWVP7IR7Z9wMTfq7NafShhbJweGtQDfjcE0ky9/6eRcwovXoVoC22y0HOO64J3QAE1/rmj9gX0ar
aa6ASw6y69YCGbZI4YruZSDLxec1bzLQTyv7dLJ1B3knlgKU/CeO6bY0EFkltfTNmOLw0p5a69qx
wdqEEtTLaDK1RR6bbxkChXPCMl8neJJ8UIdPYVBwdimMet8Y3XhR9FX92Lamed3F+nDPlDD9I/D9
/yYNaR8b3BrBzYTa4g2l+376Y0mgS51OMRpfwX+26JCU344VZzFVS6JrpeVgQrWCjajWcShKJc1e
lVLGDK4unxM6wIu3l/35E3zrSrxvxhiWo5s0+V16Ox96I2HLSCbmufHz3ABf4cFVXDVuWx+mXum2
QrTRitP7tB4Ng9pE0FJkSyrerhPNJzmzS78lPYPKyGxmg8Aqf1Zx5hxdMsfXzLJsDBVR1otaEnn9
+S8/c1JBPPL29jGiYCA8aXcIHerv3OP0Q0Wv94FHr4LKPbvHOqnFEWEpnQijdlcdc+JTM7KKFH3B
ubCV1r+9l/9rVX7RqvQ0gy7XJ5qUuJEifpX/Vf7+L3Zmbf7y3sH9z7//n6YlgY6cdbFpwzmf8W+0
Jv/Df8OKraHgpn2HgG+WqPwP/cFwQTyQvcRpFaKB6dj8rf/ouN3/psdokI/j0rckw9n+K4HKPJ7e
fymUc00DczlZFijKT/p7IypsLRoH1U+HOcH+dxYq18zbO4oF88jyaVPtG5WyVdA+aikiDKP5YsjP
TL0PPwFMi2YY3DMJsyeNzNKa/YKcbv1SjOpVYD6OXnVoEGUWObsPvULoWEMernCFmVlwWYF13fLx
F+te/0GC6nKKVkVFfBJcUmDB7kZiCawc7aqes+Vp2C3g6qyUjn2TWr3Om9i4BMNVkBKcPiVsb+f/
OZqo5tjIN1MJE7hZNAA9Lc83S8n8EKb2AdZVMS4mVULNUdDMUddGLj0axQNr10IwJvyBfOWc1pmp
GxchUji02dPRlM2ck8ni6SqXaA/Yqkpo6U16MJX2iEii5fA6H9A9ebS9H5qhrDEFPk8NvwD1Aapk
A0OQs4T7DEI2WrdltuoGFH9t+m1Qgruk7sU6bfI1APknpDXqFufjTdg4F7DyXiaEgzJJl6CNsy2n
bXfRSzlnJRWv+WCq2zRxKb6o/WthUjq32+aAwR2zlFotK7vhYpxqUoP6EtE6b5/M/00uX0wueEPN
T2eXy+e4eCd3+/ff+Hc+sZlP5oB3JhPLnvPlkQX8Zz6BJePCJAblosFk+BMm4/w3zXDCoxxP/VfU
9p/pZI6kB97AKVMFIMTn5/zNdMJk9u5TdtmtEAKIIg+hJevYrFn4gwYxorcz5DinUgbr0VtbI877
6z/m2puPgoSPl6D6Y1kuSHJ+Mi6X95cI+nYGjnPO6gJjkSJsUsAruDaP9H9m9P/FVeZf8ceNiMAb
BiuaO9HFU6M8lcMv+ZV+46sbOdnlOXFpEgfBJdrp6KjHMV7V08vndzH/EX9O7niQPMoHtmeCCXUB
EL2/C3vI9KJTXOH3plsvSC8nIKsqj5iBt1ZEzs7nV/twQ29Xm1c/Vib7gwLGGaxBWqUj/LGko6YS
ObWI8byuyUrPvlgzzl0Kyg+6dNodRJSeLBlqY1cD9RFuLHLDuyEx6wWlAe1SRUX3xW78g8+Ju9JI
GEIBwzbxw2Ycoo46ZtQMfJr77SEFc+qD2RuXwTANi5raxRbUxviFtufc/ekYrAyEPRZL/cmLs+JA
0xUsFv6Y8hQ56qJ7FtjCA4X/+vytnQp85jHCLoIvF6cZNeOTRwn+opqqShF+PkbG7JFXEl+p3YRC
PA5FpNj1TTVqACGyKbpsKbF+cf35ez0dozpHHZIJEfai+Ho/RsHEVRFAgsZ3cwXjfMENcqC+//wm
T7cY801yRKFFMyu0ME6+v8iglXKUni58FJTa1umjnsqaYwRXmY7sdRp1CJ+tN6xLgR/180ufGz84
5CwdOtsbqOf9pT3LHLRQN4SfQE9dVwbeqEWijGgpFRX3B7EF1mJEBLP+/LKa+pZj+/7JzsJjblZn
UdDAe72/cpMpuMS6WviWUojX0rFV3J9zydKZJTZWgE3OUHOAkxmqJIOKLodkg1dAgMZ2HLp+G1dC
POjRZGhLqPDJSkjnqFt5Z62INugPnrBjwiYgAxpy6DZaFwS3saoD858RinfjnMxEuy+5oKBHWltZ
PWEFwWBEmzfDPeEjmMOwVUeU6z0N37fiRJdZVc2edTAIdixK8ila6PJq5lyo7mQTN+hQEoisMQK5
qtjgwLNxCQizWUeKhR8lzFsG6tx5JH68PbRePt3HbHhWUQWZBjHyq63nDtGVORniCg7pxpnyramD
f4DeeT8UI0jdoNW2ChFI69IQCdR8lWJKq5mbJmUOdYZKu3QJjFknBjxjJqHum+FI/hD44gdnSsZ1
Sf1lXHQ44S8DvJF+mTDthmUbHYOk6189ifuno8JFdEgwMAxghm6VePrVF3bwGFVYN1Y5zed7m3AE
AzOO9kuIuRRrNab8rSDciJZDkskHT4/dCIaCNI8dtualMz9g1BWXJakvckHMH37AER5SXgUSTA2x
OYvYxCkZoG2olvy+lAQgKvptlihXSWj+kpDNSP+U7c9kGu7NSf/lFZ71Y9CtcEkzKn6U6ZCAuqh5
JCLiQyp689ccsOBBKeJUnNTMGAmiIkgetE4eWpU/Lx/4HcngpPvcs5qHeB762VA7F7nb4mvP+wCb
vNAQW/TRsc/0BIQyaBZPVGLT09PblrpOVDwLTrj0gjFYuwh6yXWgt763gC0CALC5gD7BlqwTue1z
N6UlnHS3aTm1t7IK+IeFNyNtsOscsxBRsZoF8KuZexdQ29p1x7nk2vV4nLRjaUDlotJXOtumK9l7
SbJLdDvfVFkdE7yIzSgALwNc32yDkKzHWL1NijbFzN3T3NOzWd4RAo3TTBG8BA6aVUaJElzpvUdk
GY0gBwCKVrQLzLLm9YhAbjWCRF0OE5r5sRL1oVYc7Ru8j25ne5V9EygGgIcqMm4c8C6H3rQegrye
jtKJGuxcVqf6ZDza+q4WbO3bdsiGZRpHwYvEdLXwqr6UC0MBElEiJvptJqn7m7QkuWwwJF0IR/Ne
Ivjla2omNOYo7as4laRHvJg3P49ATe2VNg0/M7wBkB66AT444APK3OAycpzGhywMzTuiKKZ1MLq4
olBMaVuX0vsWFFT/6OpB91QEVnRUc3oZFKIye2W2AykRTtyR+wVM81VLG7mv8za/ao0BQ4hhFJdF
G3rXgzYZd2RKEFHYNCSWDLVmXfR6ON4YHT2XsBLuTRKL4nmMrP4oxpHyYBLJq6Gp7YM2UOlsas+6
SCvk9Bqa/SWeV/sW/BaNq2mccBoS/LS0EJWli1qbJ69MD+RRTCqMb1yJqbMosIqsaAqXmy7o1d9m
bIPoQfsR3dagun9a9Dx8rWMSSpW82TI0yMLENo27tmq2GO1xVTZV3KzYUJrrVjXri6y3cYpGZR3d
TQQIhAsoqfyZVhDZq8RzAhIPyVDk14Z3ulZOe4BX9QVRdOMys9CcLhGpqhi88sTbUQKzNiVUBpSG
obezGo/IDaIpoIKHylZEaZxzAwZjgtApUlO8GTg8CrFTwLBwGzU9oCACGeoEbSDWqKK8ZRdInsNQ
ssHRC3e4KdgEvPS1lExjXUoRyiQ/DT3aUjILPMWxh5IHQo+PD6v75ahQTdCnWRdvERx9GXPqdMns
fW7SUnuRTkG/PyMK4nfjEbg6NrjlyKAmP2VO7NAL2kB5RNTGONC5porr9ISqJMN1g1htDWmedAPG
8Jt3mRa2Fs5Bf/Ml46kiqIdQn27ZjlDVFkYmyWmi4vjdGeD+EqXAP2oKDthxTKPtLR1Gp1v5jZAx
khTMqHzo4jzfSq8ttgS8BOt4oseEBy6nl0IqljrM2RFl+0zVRu5ceDbpImwTawXfnP4HPRsmT9Fd
eWSY4WKJAM0LzYsvbdgkZH7I0FsQvjj4JVFx+sKtaOgKLIrhQkUhs08abUgxlOAzmyPXJiC8FT9Y
hevoe3Fq32pDoz7KOfgzNuegnyqHkWVVbsF+ZpZ6TFXLZWMyd9DEUVfVRAsBHwPOXRXbJIQrMKDw
uWJ6KR1SddrMiH56Gv90Ooef5MK2LgKt9MB4A6HXa7r+fP2Ku+UgKnZGpaQPvQeUoyhq+t21rawt
HLlLVxJUE77FEc2LHcAVoOYJrcEewSW9NpDZpdeA+ge6fmOI0XzW8jpbFxUDHA5Aup8Y0UsyweWa
OMLiV8IajmREbe6a1J4eGEjhjR0p4bVMWu+2mFVgttkQrCKqAv+GYT9KzqIS6oAeHDLUGuM/QSJ6
oKC3lul0nBS1+9VBGr7PnSpYThIuz2pGov/znlI5YAGB1bUeMLtsVLPSrojXwbEUpEwyqCX3SabP
8o8h/lG0jXv0ym4A2NFa3412NL93QjG/J1Y1XrFS2ZuojpTViIRoRVQNkVQBircpVMS3MsoR+ogC
bVlqDFdvT11ayInoVbn0P/HOFkXJwtckF5YgkrMuIwzNLa6wkoG4GTB0XjhE8q0LL5G7fJQGVvYc
5ahQgf8FjjfuW33MrgNXC3ckyJLi9zaWJ1cjNFoxsVlRnLiYcDNeoV8N1qTiIZkzMaPjiinSa5DS
+Q4KmP3oBUG3lQE6AXriLIYqjdiHfqpp0jQIk7Ua3j1qQyNfqiMRMdakzSk3JOim43DFpDDuaLMV
1w46phVaLpyTs5roQR1Ky1oUUPTWUzs2G0dD2Jp5Y4Lh30nwQUXKpjXIUjLbHCxePw03mtMTUyWq
4bp2GpZuh27z1qlLhZyGKXdSUNTo5BcuPfA1a1O38wSpl2gVGvIUJQ1xyC5FedcSbL5pmXDYAxVO
c0H7X17XIU1I0aJ9CmkGXI69Vu3rwO43hq4paGTTQrlrVBVJABAGdswmncqsI1RKxQYlFtLCOzY1
MfRVt8NlVlcdoTZakT2oJHet8wrpqeHF2stbtq6Zk2qAhk99wZusY/+LgVArJrh9HLlyHVOh3U9k
fB5F6jh7uzfHtStHgTNcJ3kH9jy5y7lnd8NCdgRDL4rGmI6qPfDNKwYehmXAX9yZCmr4hUdQ0KGV
SrIM+EdviLkAFFBOdeA3ePW3sWpMFHgDe9vT85jv6NqJBgqpnhUhZov1ZtnG+a0+pAIwEwmYUxUp
W872EjuVNepPYzHCbNOL+tbAsp8t0li5IIDxpq2A7WGwjZZ9ovxya+lsNLN4NFrgEfCBggO3gWhP
pYuBsKcRG9cV/ZpIC30bBHFHYFQgLzCDC9LGa9VZs0OMyD208CVH4w2yVzg3jZ2/OoXy2kzW9aA3
xkYf0G2yb6t3qJD1BRaHu76MpqVwldBnttryILqlRpbkKiQWllhF95EOmaAwSlIq7A+6J24fhosU
bNZKdSWRrVYFxMOpuN+iQlmAgdA2mbFJnKwoQBdRCG8nLNZ2TGjIAmpUu52mJHoKwZ9RSNeQjo7t
0K1RY5W3lWnrE9oPtUZ6okcXUWJXNxg5q0eF3vqCVT3/QTA42Y6dY986GtCzVeaihmq7cdrrsZdu
IQu0vhKlFjmTYW3emK6YbpAziVvUziQfEMlGnCSilJU92fYaU2mwDFChbTP4F5uuTqnGqVm8DxMQ
j8h96xcPZc2F5il0DdPM8sSqL0MDxJTbDml60RQvbO+1HwPH8UvNa4FaCd0qj12d4JDWy7a/Caax
3Mkx8raJEjUb6bZ8inmu0hb1FGiNpAmIdjUE1osZmTUd4mgar01NJscCoP8G1J34YQv2V4iIIv1q
BD2HiTJy9ogRiu/oRNVgURet8aDOK6St5bQBIjdCIFq0F1HsmpdR3sjvoKMstAt1v8+ssLvolTF9
RadO3znSeLllK4E+OlX+M28cddnZmvlMNl+p84lUzl5LdfMgJCdwGzkJ2VldYXLWbWDejZgB7o3C
yUGPWhqxaF0XXZXK+CvtHPdRLx2cHt7kYuxCXkP2dwJlMx8X7PEm4kqinADQFhDAyh4FM1mSJX5S
Ie+tECfyellt9yOnCmwWBjJjDXlpU02rJs7viBsAqSEpaDHLI9RT6cN4KPZTrfoujMRYpTb5JAuV
uNQWeLQnUV7a+V2Z5uVBTplOCg2BoOznc+J26R2klduixGvwwPgcl2zl1ygz8Bi9sHZaa7sPUoGD
wrnT3XKK6elExME94VrywKKY3bBVTJ7RnpX3SY0Wp2qrwdlWikXmYQwSNd125ezKx3Kic5iSxZFe
U1/gbCLyKhU2DKAWSOu+09tfYe8SCUll90CaSXFhsLN9LSrVXuLcala2kl5NZYekujGUbCtJsF72
vKoD9pAeOQmYzSsKgeFVwmaIcKAsadbokGryo0mWaVDcfeP7/ykLleYOaxqeHgcdBOyvaQ9LoL1J
VYoMZphFD7jFDBYuR1vjlwiOTWWUL5TBnsyk6Z8I2b6doBuZxGlESGNJ8Nom+KS2slIMTKptdktL
D3NUFNXim6VmTb4MbFKho1bdTF3XAsmMTF9xS3MbRbZzQNk0MrmI1oEX6nE2TfTwhUQzTEXMhPAG
lHDjhoNzx1GH9YTA+6cgh1ZRhd53czD7C7XS9C1/ir6qh1rewp9DC+mK646i1ks4Bd2mm+WHPLcx
ufS8qd92AvkeEk93W4d446iv8FCMwPnudJF5F3elIKMz5oMVXrToC/ZUY2R7G0uxULxE+g1nkAcm
5PR6qCZ7D7yvQXUn7XWVFcFz6aXTMhO9S5nQSK5sEDwojAG/LXTB7nZorBrJaF98K6YmZIerUG/O
5Q47XX4MYsW+cXBcrOzE1q+0qDN+a2FRIJXrEcWCd9wHRdReF9YQHTIrtW5NMjGKcDlOgdL+SAqF
EMS02eZMt+uuMipEGYN6xAxk+1lfwVqTabmF7ZrdSmZcJCgFHXtU61uRtXdhC1FjwGC6N2bFsuzF
U+QVjg++mhWLjeCeiVTxc8PrDmzlnH1vkgHchHXK/pc0pFZiyF9lsnox6gRFkivRGSxC8O0vJeFH
6oVWtcGFi4tqRbUEUyTiubtWV4ZxqUDk8q7iTIT6sizqesAyX1bWpi4oIyNAFaS1jiK7K3JsN/iO
vG0EgXBVUcK6s/XmF3L6dqFObFVEbYi9OvWv0KHzvZXpqOwsi0NSTUDtpJHGmMeehiJE8xVdT/Z8
/9ajk9sPOQHNSzMoQ59dIVzR2H1t9JhgUHUMlmrC+jr2qF0G+9nhCDIk08ES6pE9FMY4hzKR0rra
q+ll/YU5B8LYtUEhJS3EdRhofoc35HdkG9aNpSr6sRm83/VgKg8hn969rjs4wK2mhCBLIvQsxdBm
+JVVblVvaNd6XBcrW842k4IKwOeF0HM9EAOGGjA0SqF0md9XQY0GIfps6AZukGR7Le/ubVJM/dDm
dOs5FPI/v9y5yr1Bs0U1ga/Nupj3lwtFrWqID7lcI627Wq+3nACGdR046hftFm1uzb+v71LURnFt
sg2n46KetO69afq3qI1AqH9t3or0Y9D+HCRFegVgF2QyW93agFCf8ZFwouypx31+u+eq9/DkbMc2
DfQ2H7oHjiHJIFGFbzihebTAXKGBp076+VXOPVRe4VzDVml8vlW6/+jGmUNgtmZOD+atHdIB+Fma
HvxMzUyqL97fuRsycQmQxkFpzpubqH82/tKhLeZsBTpLPRx08pifbLd8+vx2vrrGSXcnhv6AM4Yx
oukSGp7Ymm7+heXh7OBg/Gm8HIYH4L/39+F5idsLXQq/YgG7DFtV3+tlQbW86+PHSKHVQuztDPmi
1lohlN+BEfmqtfPx08NdCMIQ77bqzQqT97/BtKrWUErYJyH8XMS50p6Tr+pDpiSkyVZesfrb58r1
ENTgv7d0zTn99urZ+DF70Py8GJil7PEIKMr5Yj75OBYNeugAmajv6B8FWl6oSVhPWY2/EnFFU5UQ
aavu4CQUND+/nTNX4iZmAZutWQYioPePz2vieBpHt/SZ2giUU5oLqIF3lUgePr/OmdcEllQnL8Ka
28RvpMc/vi67ylPY3U6JIFwF/fGsuNkySfG31sH+8yvpH5uN4Bb+uNRJs5GDqh3kNpdqEW2vTFQn
s4T9H0Jcu8YtNt2PFo1pGJcBflRTohYU5Jza7FvXhMrhWqQFtNUbztK5IFiG6vGU7i2cOnsJrhcL
JGb1IGMzaNYF4Jc55JrNlVxnOuydvdNlw1VftpSx8GthsafssOjtePriRs1Tw9FbK5PivsoHoCE+
P/n8smxSDI/MO39qIvndIyHySuvcb6Ntx885nvl9O9vhCOn9IYY0BCqLPDgd7J1tw9q3aM9odZUS
UH+fB+yOpB0tizL/hpHtcgo4XeZlWqMh6ik6xAbRDCIxgOn24GlEpzt7Bdj9cjBL06fBhTBXukQx
Dmmy4hzvHFITLUOSegGQrzJaeWGPlDccYNshTedpwbJeeJj2X5yACNzPR8CZsaZ7NCNRsFhAQ525
W/rHWAvyjqAbMfJcEqU5dPCUdrz1wQ8TAVcbjmbvf37Bj51foB9IQC0T7ZMByeL9BesSLW+Pacv3
XGnuKLrk6zoU8mAbldwGbigPEfWXO3DD4cXnVz7z+dLWhlaio8X5KL4Q4dgpUWsXPmfd8bGzAZLV
FH3vLM1Ofn1+qTM3SZeX2YgDD/857aHTHGHTObao9TpBaRQmu6BmQ0SikhRiZzdp7C4bumxw1HUq
d59f/Mx9sq8yiK0hRxkpwclQd4DTcfYsCh9XQryt++IuHEL6vcko/nobAEaL78lBYQQb1zqZEDkI
NmFJMooP7+X7OOJG0N2BwAmQTH89TNluIJhCGIUM4wO1q2rKkuS6NqO5iB1vsqm+GMl131s2ejj7
598+QBNjImFfmgmtwzpdtsI4qwoTW55Pb93wlWoko4LQF23ZZEbafPEMP36AXIytDVsDWDn6qb4Y
r4oW2W3OnSnmXWQo3+vJ/ZkMxl3Y21/sQeZv+f3+lEuhz7G5Neb8t7CuP751vC/xWCh0Y2cYlUHB
xCstmJlZNy2mottTq/hqN3r+itDgkLHNH93p8oLy3y3nK9Zat0+96rkcMTkILOUtXhAorPrh718d
G2+Yruw6uOLJiLQgm9gycFJfads9Abu+aabXsa1+cZmPG0YTlS4aGcN12H2csoU6Vx3imD/a7xRd
uVOcwtxVAyvi5zfzcRbhKhoMZWZmPFruyYc8KPpQJImW+sLgWMtxj5zy9rdT2Ee8CHTVQC0bY/nF
LKl/XCm5KhOHY1mQRGA7vZ+gA1JuPPQvqe9ZMJh7qEasdRV2kMGjVTfNGabN6GX6Qimx2C6dySMe
plGdrRzqcEd4WrbBQ3g3jVb9jXD3FAIEPIG3bUFd6tYF2hj73tN72w9lY33x68++GIJ6GXHw/czT
F0NfMsoob2Y+JapinYxeslcGih2fv5iPMyyPCF0lnhxPf8v7e7do5vj27CIsMx/nTrYoy85XIQq5
jvxq13Lmg8XDwd6WeQh37cmrsHDYEpFbMBENlUE3O4h2g60Om8/v5twMBEoKPaLLoZxn9/6FT4mq
D2GrpCgIAAh0DsvUYBFmDAPgpUvMv99Fc2ZEJsqSQYgQjK73l3NlbHeoLlLOjsHP+dmJ2D7mIvj+
+V2d+3jmzE8HSS4Hg9NhjL2o0KaSjyeLLfcmnfN7tMD6ScW13IjQcl/7rEp2qFiaL5aqc3MeiliT
fbV35tBD/USNDBwrfhjq17JQnqck3FTJQ5VMt0zXX1zt3IDn2EPsvMnJ8oNaENwCOrKqSX2c7ukW
CJZz7PXkSxfMuTHCQ3R0liM8PKcHfq/VhxayQuq7ba8+xJFabhQUx4sgMbqMAr3T3ycaSc9tKbvr
eizSKytzjC3pksZ6Giub7lJSrbQazEzWuzRlW/yYX6yk2tkn73DC5ss0LPY/70eWCBrV6vOc1WYw
qRXK+lmTXoknwG12seN+bweqE04VUcksjPgh7btmB9fpKaKtO9mVhNycY0hEu0vomlItvIj7+HxU
nnmONLbYgjqOgen2dEHMHH5DPLDdxhr9s5o0uVErFFUBcfDl+Pz5tc48Du1NaGjNilV23e8fh66N
KgxAydY+0H6qFBxWuaU+N2NW+A7A9TWaYfnFDuPMR6dplO3Z0bBifdA3dyIbSfsqub3EeoziUFnq
tO4pZoppYYCJuq9FX69oyXb+39+rpiHnpCLFBvF0pjQVD82R25Q+Z7UrzBUw80V2RJYcwhUJsYRY
4Rej7dybZMtGGUDXOP2aJ9MY30ovG7MufUUN6+WodbQmC0Me+9rL/dzmIP35HZ5Zc7hB9lAYkBCu
nuY65oEAR1HyaIcuRMJtggZQ67JeGcji/jeXwiQ1Z93OJMOTBaGCxy3zgiOa5pXFjZXV00I40r6I
W037Yvo6N0YBCTI8TaaVDzrgDl1MMVEZ8Ju8vWuj8pdl1XcZzmKS0CABtOS0/v1jhFSp68Trztam
k9emDRTc9WYq/AmUHE6+/ptoBRga2/7iQmcmZhxkIDANKs/YOOb3+cdmu5p6ZCABR8AstL6Hw7B1
p/rui3sx+DNONvTvrjGP0T+u4SlJmphAPHxUvRp2qbjaN1ZjfdNbjFZBRkBTHKr9wupFtYKRFd6X
vXBQDNCwaV2RUvxrkUQVYHFLbFhrxdC0NWiejBQhKfaTaUZH3QuHZTF2wY+gUott3qDQ4HRL0Bnk
tF1kwXqY1GG4sTSBYC+hh/dt8nIUF4WGhXvOv9nCqyTQskc/dp1kKrvDMo4XRRqL62hwoq0mmnGX
Wei0OiPKLzsi6Ejd8u7iMm2WPOEZxUfddAFYqfJRKAF17AH9BG1koRhMe3iJBsH2cdJuPn+858Ym
qzj+eSwU9ClO5k+7boBN2oxNtILP9SCf3ai6Ng1lY+TlOlD6r2zG575w9txs9ijfo4w/uZ4VjUVN
umXhY3Gba05XQNF3vSy+2Lx+LPmZ1EpR+FPLpEx3yu80yWs1xOAV0CPTY1XFAuGQ+1qn93SiIHIq
S4KvnkJRfHFkMs5flyotT5TD9emGzKvympQ7i5pIOU6P0aDiEhKmckTtrmYEG3qccWorD9Yy7Wqi
slAKQfxnIq/1bmch9bWSXtkZaqtsNGkWS9JTyUUbqy3GD9pYXvJiaSDj+gE9EECpcOVJjQCazplW
oRbc6qnZLN3JqhepTGCMyakK1wm/B5t89QvhN/HQ7hwGMfT1BkcX/38+QetoZLJ2FEd/qEHQffEq
zr1xG/6D4+FH4IXMj+yP7zdWGysv0q7wVfk8YplYjD0WQA1o9Ocj+dxc9Md1TjdGXdXlGeSPwieT
V12CgWmXOdbFzy9ybkG0oWHRV6DfZs9JR3/ejFrr4OVMUfg0ndzliMOcw/j3Mo0Q1jbjF6azsxeb
Q47Y+OJuOz1E2ILJqMj4VpTIzjmJTtvOrDbIwBBUyviLx3duIph966wWWPY+bH6zcTTsBCmFL+D6
6o0DrCYYv5eZ+CVjzFuR/cWT1M6NC4dTEgdYvFRYZ98/yqmBOOma7NOSIYuweuja3p1ED1jPMlel
oUT/j73zWI5bybr1u/xzKOBNxP3voFCeZJEsSjSaIOgEbzJhEsDT3w886tuSWn0UPe+JjgmRZQBk
5t57rW/t7UZ04dgE1jkl8m4/xSib4zqtrvyY7DtgdtMXuBU8UdA27PkP38dv3x4LIm0k+rf4eH5+
e2T8wM9MOOYo0bxbQXyfmMPdRxzp399Rv30dwjVRu+Ne+5fDQTtoU9IgytlTiTZ0c7rniuDGdd3L
P2ykvzu20pzCvaYvf3i/PIeWCpBxI8DadwjHkxadm6puZe0cM9+4LmrxuSyCPzQqfncD//CSvx5Y
s9kuEOro5V5T4y7u63fAAihc3aOshz/UHNbv7l8qUoZkHB+phX+pizrlk5IzesQMd+b0tUuab9Cf
3HAAq0R4I05irQHOXLIib1KxCI41Y5FnSZQ/AeQfm6bKQyT8dt+byJaxtmA2SDp5F89Bvfbh+IVk
4fjb0VP+ve+wapIJ0qKa0NoReuHS2qzNb7oiKtmDcjY2+tes7k94EiFmcORL/UERF22lG3J4zLsG
5SWbven84a793bcQLE5dWhzct78OYAENt22FSHk/N/Nh7maDfFL7wSHumZ7pQ5dO6g8v+LtLvNgz
cAx6NFt//dqbzIgnwWFon8ILRRzTg8uZqX7XFsxZAmsWYerfPzC/+Yjs64vbOMCI8y/VJYESPhkJ
VrEnsdXeJHJyr6qEE9qU1bCYJWhGdEgvf/+a/8IbAYeA9sbkS+URpbT95e6KiQtjMluUe7ecgzBR
PeS6BIZVZU3ORVIXxX1jlv46s5FsfeiU/YS4obInJ6JDS7TTlEIy+4c39ZsmJqoEuj7Lqg24xfx5
iYpHZ24IsWLpmCP0bNAOt6jSrG0bASYPPNdacacgn3KKTRDLhOyiNkd+bX+Pkfm3NBbrN2vY4gtH
jkECIYO2X96IjjTCLbu0xLecWYxGFnFzahXzLQLLyrngcnkH0FrOBT6LdhUXNJENjfCgVSqT4UZZ
St9OU6Q/JjYHb7Ob9UeOxdUuUdxS2CZAYY2kr6LLfZ9QZLJkDxvbzZINgkEbvFXV7YG+eZsx6b21
H1/A4CTZ3KrGax5bnCiEKM0Pid8Hx0L3nvR+yv9QmP/u8zMBw4PuLRP6XxtHtNuyou0sPn+Rj3cJ
/lywDGP6kBpasv37i/67l0J9idYANzrbxi+7JkMnIcplWwpqi/Bf4S+WnrHJj0FSxA9//1of1+2X
0ouygBYO1Svb4K/lf6W5BUDAlOIAxBEMPAbGOD5m29hFDdSiyiuMC6PWo5tuNNXJNLX4Fugi2etW
0ezAqsu/jpL/xTf8Cd9g0sT64dqtn7vn74EVp+fy/X//Z/dey/hnHozx1898Bzj4+qclDSiwvWXg
h8yI08F3gIPvfHL1gFGZt9y5y/nvn0AY7r5/AGD0T8CNbBxk3HbLrOY/ATaAjmFp+vHOCpbMJH4Z
cx/6Bo673OY/FAUBqiA/qv1ib/nxkwJiuuowam0oGR+56+7koO3JthCPfmk8IhA0tmjNWQWGYwe5
cTNrwjxYqpwOLVrzVWUo58AUptjJSSdnGmlxiBRXfpuigVz5xPPXtd/ql1pcNF9JTtLPmjmZu5lM
l7VVqDls/JTgO60CqB17Z+SW/o2aU0J1uhKYFcjpjqnsyiIQcdMib1xPykYN2clQDOX11LKLE5xO
OmgxHiTah1unjZx17SkvNCbVf17U9OGS13lIUghetmbcknbn7EhVfHDtMl1x4ih2XlkkV52eGtDf
eU+6XqU3htvKjaO54sa3PEhvxT14sxVmRaT+wnVgfQ/PdU+k/WBBxJV2M76kxCBd5IrzsBXM9QoD
qbtzWoXGxpbEvldTGyq7oLlmWW8dI9it3ZM/ynwZn7/XP5vDpEKtG45ZkJdb8nVA1s3w7WCSElro
0eJIvOqMq2TbFdN2rrXraAmv7DUx7hsrUChda+McNGbx2A1O8wDQe1sG6pYucHnO0RFc4syT+FB9
wqnDqC+uJEIwtTH9QQ8FLLjHfq5TAKagEa1W60I8mejDm3iQd8LSKHEp/C+AyM5oOUtHMl9zxWWU
NOlJ1oV6jAJghwFwivuxtDA6MFJHDl+D+0yGgLxWldsH0Rf+radUjhbaInO6MDFQdJbfPHlpRuGT
Idi5r3J2LtLigp2OvfZkQywl8s8oYKbGeiMvPWEuDN/FuZsGZo9BvBdi1ZpNRQZVFKGprvXqKLS5
B9nlVx7B3wXo7ZVRl+kJoE99MdEF3Zows7965qC52BYwdzhmGt1nZlHf+VZUbkDu1XcGFsaThb3y
wlYQGemzZV+bJsJ9FxheGiMOmI1tmaGu63QAf5MzpKe+yyEX9bE9btq05foRHbm3ILnBtCTZBOKv
bz8L3cILSfzhi+w966BZVk++eIt+L5Y1fwfD/Q1foBYO45SCetR14zMH+uqItRFsmdlP/VrH/HZj
Iie4d6Cf53unHfjwAnfxmfRq3uMSS3/O3b6+aIEu5UxzuQ6NX/ALjW5MxKaQabWZ8DGsR9zjTwnP
H5G6TNZW49j7axIKWnflLeepxqjS0yTA8qZiHnZGbzXvRAiMN1FfNyjTeWdZlAFTH3qDXw/k1ruN
50QLU0c6bmhFiX9rj9yDeAbKbwWOz2PlVP3nNrOxu7lLfxT//7RmK5/OU+90X7yx5C8WUWYenIFF
ZI0hd8KD0Q47WG3Z1487jSgzXg0NPTJ8Y2L6m44KSZMd1NeqYbK8SuKsD51ZFPd2oEzozlpab7rS
9m4ljPxDnUfj2RhVvZaSiC4z7j2bLZeLCkSvOmol6quVGWGUKchif8OCnZ4qvXavqYemCxEZ5jnS
M/+siHfcJNyR+QpTVfQVzZNYKcx+dCIJOj5qg88regyutkWcaHd4s4bd7Gb1nYgJwaoJytp8XK1S
lfVdGk8tAp48oj1Nt4YqCojC5eTZziUnXDtacR7GquDG/PpeTXHoFSN3/cwfqe8/0faaQlMgVGyz
+dRWyWkgb67X2s+DiGuYifXXKvVXMVDvMPCvzK6/1lV8kwwL+aBL9mUmvzkquAisGhUnh4rK9M6g
IrbWkOxIrL+PZeuuHX30LzHps9BFDkQqfELNVIe+WdXnjn2sX5lW3e+M1HDPiPq/4EQzTu7AGp4b
Pn4Ar7FCA2VDmJbTKR2DtRqzNZKiIyac6MbotPHaGEnV9esYvyBDvWTn1nm28oPB3kxNXq68BtYF
ua1N2Pm5SNaaNN4q2smDMN8Ru9YXAmbeRQYGdVOZpXGwTOdVGh3xjs4t+gTiYIfeusb5Gj1BGHps
NZ80CiKA56ottwUObarGathoJaEAGVBMUJ9E6IaN69Z3PfgYPE7Z/AYeIyTsYoGu44tquhHTak8g
rpfvrKxLQpzFXGDg1ttR9NEqU1MO2dX44k5wmL0AYew4lQedISxDOwFC3O9hEFd5ROBdf2ziudlq
df0k9N5ejVWtX0657h0lN/4uQ+69duid63hsQ61E9mJM36ypOTep772nppfubSX0r56r1Wsjzz93
Rps9T5NmbXjWad9DFgwhOxNs3Qbd0Q4iwDrDPLMeMHdFpAcKZOWgPwtnQkCD6E6U7VsyAS/RK386
jYnExWFBI+2AjJr6hNVT9huSwEkZMtwTg5b8lttKEpITGTfWPNkbZfYV4Lke6gyg2WZtt9pArWo2
761DjvFM6MuE2nFlNc1zT0bimsZAsM6M4ZG8bbISa3b7wCSuWXP7V3LDnkRi7WhFRV9wc04r/Lsw
xC2VM3JwtCtpO1+iqdJDl8eQ7LkqfkSn1oZVazEm1P1L5ffxhkOC/wY9fTh7Tmp8wXy/nCEgX4Wt
7U5MeiMFW9WM/BGjS/Yl8/p8Zbd2+d4S8/feSVkcA1kCDojbaF0P2rBlT1fbvOVnYybUVEH6yYuy
+pYx1biOE8HJCmrCSkEzODX4nb5WQIe+KkaPJ/gedciceVqBW5nXBU8RK3mXgnJOKqw2UQ6EYeWO
WXw5jF1uHFszAteTtLNLXCzB4H4sSp1HIr6HC6Bdu4b0w9wiyIuLWOv4BGO6BXnWX3qOBNpqVDh5
auE0+LlmxTaISPRUY9g42ku3PKJnvonwTN4HIu3OKp9TzLytqKpVF1TaqcP5f+CkkO8MvRabdCyi
kAzCeukPjN+q0jSvoVh0XxQx7vsm8cSDKyCowr/GnjkH+HA8UsU1u0lDgmMOeckprBwG7ajXLGA4
oQRsMacNG9lhuYMHsq1Tw+dtFWI32cUL8QZEVslIXeeupl/JqJLbwqrlTphEa/Yqx+vSyKuxzra2
pu1iM3aBZc9PmcSPs84q5AV05CXBjzkON3IbttjSScmRub2bsT6PkMZ3stbYBnoKfKdoh5s554xH
fkzLzjX41xPOgTuBl2zvk+z4ZHXByaia9l15TBWEO3VbsB7xlhAcMoUssXglyd3oSapZLYPuFXKv
MztofV15qBuboJ9obSvn3mrG3ci8gaCp+W6iN34iUZm2ku9nu6kydq5K27Aw8OwOdfwuxmlndWx5
A/zizcC8ajMyOTuiDsXem7XRQYnokrHnGcOts/YikE/T7I4XUeYnQbfG1pkvuSXzOchZXY0Lr9fc
dNhkTVIYzS4vVRbf0qgWax7hVgE1apWNVTPQtJgtIRbE4+SBHk9l6Cnm9IeR8y+eIo4qeYjLP3c2
U5sN69EnK33l4D3MoJUMfV+vSzclrreFQDC9JkhbB7gOFnNUwsLLh7G0bzU9GLZlFfRhbPfqLvLm
eWNMc3uKM6cmNdWxr0CSP4qZJt/cuOc0qLUww/l/xu9FCnfgZNjJG+elHTFOZ2Y1vxit0V2p0tO2
qTG8I941N8oxhyt/GKy153v20R6pflZEedwEYGrgdhOfE3NU2ZhRb60nzftK6Y5pFfbRs+rwWqWa
tC32++hIQJwLoEzXw1wQHDUM6RhGDXiVJmqK3djZ6Y5Gw+dA6yDn5Fj0YaCA3srePJNQUluU8kSa
RAh44zUpzJYA7TQ4TmR9oDkzPhLrJ9m96Lbq3rzcyS6VqlrO8a29t8BAH2QW3Onwrcgr4iyjrfOh
yw8zoSXt0kKYLu1UardNUc4PBVCQqzYpXylAIQXVplicotCzL6YqqtdplbyKsmTX10T55g3usmZF
Xbftq3TYSkOXTxxf3A1S5fHcRcEccgY6W2nmXFvZHMOkICr0qNuBWHvTzJPWV+re7VV/IeCzXM7F
4DehwJ96nVdiyVrwreSlAsEeo/xJx21pJGwFOmYF/BCpX3MOKAL/DXYoC8cQO8Y5RfH/0EmveZqt
Ev5lUuNIhhRoayz5yFDCXkegXHHo3zjG7F9ENWbkloVxAyThQJJTBceHIqtO5/yUQvF8wu5hrOlp
EbLrVAne3ixjFGvy4vADOJRktZ9Q+KZB9xmRiowZKNakTGGO4/QMYiYcUzXjerdaHHxStAOBfyX9
KeZGeylUsx+16j1fZootPljKx/YSryh4j1j6Z7fUh5s46RoyCIN5nUNZWs0L1t2Ja2JaI0IossCP
jryxLxR+ERHnCVKprPQPtPbi7wLs/3Z9/tD1QXKzdOT+P0DyX7o+V2lLd0amP4WX/vVD/2j7BJ/0
AFonUnmkYjRZvvd8AkKqaZ+jGfyR16l/IjQaXRNqT26an/Kp3U90oGgR8Rd0JG/MPf/v//mpP9z+
8t8/pns6vw5r6JMiKEJeSr1veZbzazKOxIwgehEncFgIu2fRid2hW+Ggh2HWuPbwpMeld9Icpz6n
KNMJdg80quhSB6wR9NmGshcAFpyVaSMBRlwnPrxZ7PTkVgee3I1Bah27iqK8HFIS2Bx/9C0CtwIb
7HauvC3YpuRiKFR9qcfU0KvaLC6bROY3ZML7u5IHexd5kQdfrbDhD5Ua7lHiZ3ZzmshDjsrnque5
Wc/4bLQQHgvKjZLg4wvyLdXXnJImX48efkEr6SkUNbPbE0kVnRkd24pkQTUe+oUSNNfPXl7grskt
sKJy9LsNfyHeqMEdtxSF7rWKRj8mbjNgpL1k7RyMKbL3Of7mV1VL8c1r0oBVrvIPNZSJ93g0IxEm
ZWPc0GnqlyQBeeaQqI5ZDhB6NeUZO6OVme+ZzikMYBnBdAXmNXimsXuKKeYvQAJor5WLXQWEcW2e
tFlUhykVj0MwCgjlprvLE3/4kjRddxcEHWhjUkzlCxmI8aPU8jxAXGFPK6qyrKeMCeZV71cHMP0e
nS49lQhqgtwLTRgqz2IaVR+atnpgzmHyJVfFS5F23T6Y025roPZ5nfW+uEx1ea3NsXPMZdccJb7S
C/I0mb84HkAXsjLNNQfVCdjy1JuS6xnnj3CDwCjzLfX8NuZ0W7O1iovJgHQl69Llg45Bxqk/6i+N
1NHAt+nJbhRR8bmu7OQh79IE9VDVcDiaRpZudKcwfLTIYXFPzMUkkXLvAUCz+6vexruEMFRnwUYm
F22TmdYH2DeddhvF77qgiIlXTjCqb4RF9zJsiNqmLi9a1BhZUt2krjOy6U7eJb2Xee3MMDNM6ZdX
DUSVSxPZ0hRy/GEVZu7tTSunbuJ7ziCmuwpo87yIUdm4uRrH3XkFvIy6Ye7KFDD21gPbKh3QyjjN
pRPcxtHEgReLGjFuxGFM1PDSwSUeDK/k9+QHXbZAEDJNS9ZD25OXWSXjBbZfcANZ0FVfgjqLHknH
jLVjJEyRbXCzG29C6W1PTrjqzwO5EtFmmHLjqQuKqArjSvS3Rl+JrzRoySBvlPGcS4uUp2HqpiXB
t/D3JEGh5ZJ+gL7RnFrSxqyRniSHSfoLkWHdW4OeXAg9sV96VyCsMWxu2hDaD0L4uPKJfde9K2gl
k34YA7RV7H8cwKbMi5YEGUpp4AZtTWpkVT47cRJ8kan9oumqWbuNtK7AUkzvTiMnuniGUVebiMzw
xyzuWwPwQNZRWRWVfOo85B8rEuUazKt1R6bpwL7ZYTO4TAg4XDedvDVapmSY5HiepU61RMievfGL
Zg5L5KSreVjU5xQbazsJqFQR8R5p8XlHRyftfLaSzOd7sLNd3fesaBIDJlZ+JLQDKTtneoUOJwU9
H9fguyN7Y3tSfzLRKmxmm8V0MPWGlkpFKPnO65riEE+kd+Y2vVboDFZ3ln4KdzzyyuyB1D0Bcsjo
LPxGc9QfopgsvNDXVPN18OAC7m2NkTgcsjhagaRtr+1Waq+140Eiopcy3Exi0lhcZsKAai0L5Aq5
x4BsGkSbqyb1LopEPU12ZVxZbUpDs1Mg1RaeD7CYILLEdTIFUb4mIAWMTKJokZuaMkNDb+7ivG3W
iOTgBbqS0X2RizXHqaMNTG89oIy5DaiU1kOcAo7PWTZrwxa7US8/x5XT7wiIjugt2LABSZ9CEqjl
UxWS2e5uhD7Ob7M1IAccDCIra6svN3qdDCYQctjRIzE7Q3+BPcql+YUKtUkfSCJDq0L7q8r1R3/K
XYqFRFpG1xF1QU1xHY0R3acgc6+NTEVbWsWSk1Shn13Di29YFscdqRXzYYjVvWNX1VkwVz/3RhuZ
Kz3NontF9hABetLvV9Cj1DEhRPHer1wKlZbx8RkmVnWj92N5w+BfbAm9IxUmze1TEJcUgcNsbjJH
AmIy2O3CsZzoAptBvxU+EAJOgmV5ygDxPfZujrqspXm3WmitPOoBnigUivDmDd7+TCoP0PgqQhE7
d9Ed3B/3AP9EgbLQcNknQ5S8W7M2XVda3IOu00QNtmWKTgHxhXc0T7xDzAd/bejSHoDTORQbtATG
SMxfc4QWCNHpi+PPZoKQ2SBcRqPDh9uhm887h/WoT435gjkw7JIU2TpF340oerlyhGldR3XR2iyy
OQkqc3So3cy8kmMdQy2bbbJr/b6+iWeP2HC+z8/AQYxL8oCwvduaB1NFatc5QcYW5YICzBnMyVtE
KbRPR43uvBRjw+uQ9XScZm+6NXOpdsEUBIfB6Nt7GdWkexnOsOd5cuk09TVwqsYLSi4RHagV1ml9
3WUk/YS9FYhbBeuWM3ZmwaxjeExyYwq0TxT2NfbF6Gr2gvHQsjES5c0ElbibV71Og1ejtUwgLUBN
HtO+SL7qKspJ+dWaXWUlGlj/gaWG2y9hk7YLywmxBHvbdMjyG7T+6mvjeWqdIw18MusUzNsE/61L
lkUTFZC5TAOUM2+kNM36rpqCx9QEgrUZQB01FyhCeyOktWZS3ZQqeEq1KL9zjKAVN65kmAB1IRBk
PLluTjZlZgj9Ej9ayj4WGJUuyFCl4xmy8fPN1+Y83UkRr/FVwXy0EtfbNgHJAkkFeJaKfJkMmXV2
0UmQNvu+05JHB1xx+my6POIhYem6s5GKKBx3lbsjWcFXhjGOAwCiOE/1/sgta8r86A2Vq6FgjeYn
jr3jQ55r1Ws2jOZ90PXeZ0PEUNZE+llU3rQpLVEePNFilOgHOgX1eHaL+YkFEM5m8px17pNHffhi
1S0nCJsm/ap1+icPLfLe9fzihuTxDZgW7ZKLA1RRws2q8k58s2ZnoCXViIXKKCzwOGmfFntmCt2t
5ah8CunoJ2LVyCCOP/tuLzclGu3bZOa8A6uAZr32l0rkv9XTH6onAm0W19+/r54unqv2uf2xdvr+
I99rp8D+BJkALy4qZeRU5iJc/V4+oQkkv4B6CIGizwDbQbNe1SC7/vd/Fs/9P0bmhCYg1cDRhkqH
UQx2/V+KpL8rmgz7F6kVVoXF88NQEBktNqVfNUgi6vwii0f3ojQbArUwZxiMNg12WRH2rdZA7/JM
7mG1ykurjk6AN4idlKBxZLCeO3bCO2R+ulYe29ZFHb3R5lHa0d6HPe2yXA1oczxRzERxJohRvW0p
h9JWp04H7DuSI+YpO6RTDjNn28ECdS8HW7SvOc8wCyinaujxJP0tj3gB1Z55Pc89yVbTnebPAEDn
j3VB/LVIgIfP5h0lAHP5CnYdbIBW59jqfawwhSA26SZbFh5ADMFTy/E5CTmXsjJJ8LfNhVvJJNrU
rF2a5do1LzG582b8WN1Y/VjprGXRo23tX+eicp/EsiRqy+KYDnZ2M8Og3tb95DDxW1ZRIv5YUdHU
sLp2y0KbzyUBZMvi6y7LMLUDK7KxLM4gil+LcTr5uszS1ZAjQ+CP6GroXes6XRZ4CC/GBtBfEI4f
6/+wbAX9x66gf2wQH3uF/bFv1MsWUnzsJmrZWCptLm/6ZbMZkzI6gC1QYP7YioLWnI5YgIRcTRQe
MKmYAO+TIkvfuB+c2+xjVxtqU7uG+envRseV+3bZ/miWVZ+TZUucl82xXrbJYYzZWXFOmVe2M5gP
2seu6i4bLNFxS/BNwcYLvv8wLJtx8bEvpz2MOsMkPUZbzkpKi8atpQCwFh+7+rRs8BoSra0PynQH
uXomcs+cX/XlSJC0BoeD5ZhAz6i+rD/ODvZyjBh7EFMGo6nBhlEDm+/7PztAeUNypTlmA2Qr1cuP
VvZANro8ZrjyVXVEk6mKeu11kciCrSm1s68ZPtG/AzHUat7oSWTorx/LxH9X1D+tqKgFWZP+/Yq6
f1bP6U/dKCwly498X1ENxyZFij4DLR8EnHSk/rmiuvon02aJtEHBoCS1WLq/r6im+cnExoG5CJ8f
1Eqfdfj7CmsQWEV/a1lgdRwscGT+kxXW+VkhvaTHsNIzsUdRid7T9n8RJSFVL+bMic27tuWGWzVz
CTR6MHifgN8JTW7sWN4m4NReGy83PydJrp0Zdk27ikq0CYuUgNKiBV+50vElrTXXCLtAaxhmDXDb
PpCutEcJRtaGOr3JJLK9ldY41qFOCIHsUaBuGgOBh6np4w0zA7VOs3wCRT/l5znjMQtiAmyXcOz3
aqblskpsZV9rDIeux6pIQQ20nXoO4mZ69qyEaJc44WsLk3igFyFzCYi70AX8emJZezPJnrtYTTeU
RQZIi2x6muQsKc5jmjMW08L3QcYG8/TCPsRwfG7jxL1lIs5ZlbXC/LKokPL1D/fLzV8CsB87gx+S
1X/qwj4ugcvWwlXVl+QKf5G8/qALK7Fjseq37t0sLbjiVo9+1RwlPY561JjHmtBdabuUwU3tNeZl
hd6aozOwLNbxXEfNkJCFwJ5eH4K5H8DWwJY1e7t+M9Jce6iE056TCaGMk2bZFQIPI1l9KHWRePi7
OEG83LdWfQ0h9kvHuXrvNOrSi5X52UxMcvqCt0y44uXvPzRhRz+K4fjQNlZergQyamx05Lb+/KEb
5OxxpDfVnV2X0ZOxXH3spcYjNtDxRvOQUfYZ7OwyU/QH6V6YqM67edsy3bga+1F/afIltDdw1Hgd
V9CtVW05d9HEvwnLNN/xrBgXsWaq66R3jUsrFljZ/OgecZC5C1KkO3mlIFznhb5PiV/bJZrUdvlg
ueuJU89m1kvuaavThwt9tt4qt79U0jT2HSGFe3obLUVIZK2x/Oab0SHqQ0f1snXSp6IBTWDbtXql
jLOQdVjqtWF+cPCmQu5lR2keJQxIm6HfdqkazzyU+ckbKEoL8DH73HqjfMqwR0XSbdd5xkjIZ0QU
pkzB+3UKRXdVe8ir9Vmim0lRC3lVNZ5HaOFi1VVpdlUmliDoszAfJtDm737BWGtVKYpd6NNAwsbZ
M7ZV0rb7YGxS9rlOv4qIpruhXTZcOUzOOiQkfQHAJ5mz/SSTLAhnOzbPWtrBh+8MvlBzEWHNaNCV
szybWj7floPCVJC0QG/jPL60bajlOsqtP9geflmzoICQMQPqBF8Vp0MTn8rP944Zk38SD552TkjE
vv0gb2vU9vf0VYn69XrEuMFy79BTfFUmMI22g4lNoPmUvGVNPZ4al/Ri0eniwRN2sy6SQt9BDHoc
l0BWEBDll1LwW/JBglHJBgINCq79ZU0OOhF5pF63DlZd1BLmedSZV6+8iY869Ut2dAJkneVq2g7k
DS0Lap2jGWk6Y+N0mkksTC/4neMAvZvYjNuP25YI0iD8YOVL4RiXtKCjb0Th0nMh5+AhyIz2gSOS
OCFqk8Ta0sNM1kz+05dKz3eilloZ9mOA2N7qe3dnT3PubXI/8a99nMTT5u8f3Q97wz/Xq+XrZ0zi
Y2TE7b4oY5dH+4f1SgmjZfAso7MpG1dDzeEZq0kK7S6bg+lKUpui+hCt9jmbUtD2Dm6mhvh3Oqo7
X0/ZXiyeQRq9BdQzH9TQcz64AJMCRnRx2AAZf0JGxYdZNIgHkWIL/M8/gL1srzhn2JfNpZL58QNU
c95KI0H1SuhotxkzYzyJJo63wo0KWnwV60wkFOsFLDTa1Uu8gOtXzbMe6c6FodzoG88eRgNzqp8t
/IWXrhrzY2LCJN2Kwo8+F54g1jupYhQSf//eP/bjX75827M97PAmw6yPKuzH946iMZWzrZxz3dOu
Wqm2jb5xN0f+XrayuIcpPl9lYzteF3QHdl3p8wlM+g4Hv0mHY70kGSg0cvhylTx8ZBZ0bhnsAmV3
TFxFXxFq3KaXjMPHG0U6Don1rWq/DWwTXCKaxy25cAd9nsnyyAXY+N5WOcEIg0d7PyMbe1wEeF3f
Rw9mYhBw5Wv+sU2FSWvZc7dFa8HMKJLxiUbVvJNqiJgFJ0C0aP/5YWea47vxwXw3SxuYeNuYxma2
mmBr1fmLgZ6zTaxKrKy8aQ6FjQKL9r08cCYYbz4evSjQ4jcZcVbfuDn/s0fPdaTmM8+M85FulnAt
QmRMyZvetPM247D8xJ03vNsF5uaJd38o6J4f+7Sar2yCLtMVaFoTXZfUl1jp/LNOeUf0pHBTYK/Z
KwnC9YGx3njIFTh3+ktDqNnIFpIReQ2kl/GUGegH/nAjcEjkLv3pTsBaz5nB8Fmzl+PgL8cG1uqy
b3HUnlGJAI2ddB6w1cfaXKgRiU4EHJ6UXT5AMifxlqNY8+zSYKT5xJoEtbo9JJrw1lRTxVGklA6r
qdTTPBy0DANJHFdbIpiXxxVM2AsG1uILy3/3YiI+ee9Tz9bWEG5Kb90mPjiyiuPY1UBA/Qak8sR9
YFcWOedWERXbwmCMB+mu7Pc+k/z1NDfeYbTLL+g/DYt3Cbsi1OjRLWkXtyhzJsVYTO/fhMO2wv2V
rGUNkQFucwuinZwOr1ii5vXlupIG1D20IypcLUfkO5rpvAms6cFommpt1QxBeT8JzcqMBwL7FDdr
BnQ6JCTNe4UEVa7lMORH/HL6fg6KSUMCM4vdjIypvjIBogZh0+fJPftAet9qWVEQAKIsf1WnTBNa
JK+obnPhxnuQf/oYlharwaolCOtNoyY+E3C/HHBo1x51f6x2Wlu6a8mgJl4xKsUrRc2r83Fzlryi
bvmioCTw70TDsG1P1JJR6LutbTNPM0C+AVc6kBfBrjMbmfVClFw6hbHhNvmFRgwHx59guo0xsMJ0
Qhv0gkOYdbUTWLUW9bUeahWNiZjOHO3eOkeOqhBma/ZEbQxh0XqEFg7FbtJJS8wq0mhXhpeNZ8nZ
ct9pKO2JB5rnbxSt/sHvZ21Dbi+ccB+hIdwFOasNIEBav62bkqgtUVooqXEXpoJT5mqM5boLnBxh
RRPp69Sai290Kc5IOQpCVji2RiuVk8JcqLw8eV6Z3BAkpkI2A1Q1LUDh248V9b+V7R8qW7QIf1Ja
VNV7W3fPP7YLv//UP6UWJH9bAMU4UNHs06l7/6G28KhgfTBjPsyY73Xv9+LWDj7BHlmcNYuh3HQ8
zv7fi1vb+rRkPzof0ZaAuFBq/Cftw/9H3ZktyY1k2/WHhDY4ZpjJ9ADEHJHBnJOZL7DkhBlwwDF/
vRbYXbdJVomllt0XPZYVyYjA4H78nL3XZlP8ZZFEyMDSiGqMKpEO5nd47w+1ipnkfglTQD9XulYn
TU8ICyXLhPQSqqyY5BZhA6LI2RwIQZsYOIPblp0JBbzg2FkuKSolJl03BDUjbSf8IltepqWwrGfh
46PYjEp8ij0jfionZKJp7Ngvg2V1N4DXu9tVwRHt0przdVCzONzECOwQLzuTL/dalsB/Y2xy5u1a
DuXEYKbtzE/aaEXzWVfN5AV0BrrLkNH8eTLzqHcvamkWnRg5Z2T+apXmmh8H/LEyFDI3Z11jM6yo
s2Kyycq9MVvdDBPX7F/B9oxsD3T+tZvcTNmnG3Szcpdzbx9wrZY4BdCP5zgno/SJnGpSERJQRmGb
ZoNztPAwfnFZgx8crDNH5XbJ3piyL0Xjz1vCxRC8602KJQeV+T4zUiIJzfzWYSPNDvwR84bZcVRu
uslMSVsykY6gDza3ndDeJ3bpwNOzclx9RNo6QzG3DToe5OQeWvsF5arNlFdT90Iv7JvBt6ctszNX
HHvfb+pzt/jR81J67oN07eix7WbDO7ZRZ2pox6VdnBmdMdwnqSP7OIxtAg3FcMMcmgXXQA5BA7r+
5Ph1ce6ky7XsS0IfDEdFqCrneTx3PUrbUItlsnVTZ7lvqthK9X0UU4zkgtZdR7syMLoRN+64VEgY
5yEB/96goJ+jiGTr0vgoF3NG36605dEv3MIKaEOsGnFN94pnAEd99RRTabs6GdkWjc4tNHhfqb3R
Z8gpjklsVxB4swKV9HusmAxx54h6saFrbEs2M6OR1pWAp3E76RFxKX4ljumwENQQOVs/sZDc5/WY
raYQape6KUNiCDpcq53yghWhy8DONsZtQchBiCgH8p/mPuaTvSlt4xj37Y29BtEs4xIQp3u1moX+
u01eykSspZtXu8rJ1RPyibuJciFo+ZhdzFAVMdL8KvSRNoybRrtomB908iQQkICpWJwmuzSlph+l
beU7+pnGycfZGuRKENytAZgorSklo6iodyNFxlkr5uWoN7yahlMYT6R7vVWdZ4WNiN2AMDottEgO
2NWV23UnwBzZUaXjp7ZGJ47wIT4Dru4Z+pc4wyRNJhwWypL9zlok10drNmmpodxoNJRXdKUS0oqS
r3hYProTfjM/qiXQEh1TkNXmyPctb9ygGY4vlT0BxUhBljSw4LpUQ3+JWBpZgh0xSs/ELd8+O2d0
odogmjp5ZJ/tv6JCmjceuSQ7l5ftgGR0k2POQM2+dIe6aY7VaGMAK+7JU7wsItr7bY+AyVgeU4dZ
oK78E32ae+Wnx4oJ9MbT522ccfVjKMbeYD2pptl783STkYxAq6Sfdq0syHaLFhzJkfVMoZOuqRRq
I8ria2HpLWeFkWQ8UnAeUg3oRCME8gFHBU1nswim3o21ZqVl5TQRpubTKvMM644UtmpbcsQLXX8Y
ebYkHnjuh7M3FGN6DcXHwWuLz7T006AxdP9EmhJk5pYYXEjE2RUZdHbo0aBueCvWrltzN5A6onn8
qKWurhPKkHcks2aY95FLzHumtLOUhnWfGo1zqiV2D25Yu5McNl/dJvlIVOmAGWr6lnSlONBDhCCe
cvIGxgjiSIv8Uz+n5laxrN/RopEBGl//mGfufeS0d+PQ6TuWCe9cZxqWRhLSuhfWlX5jDG40BNLs
siuSpiFsurzb69yoHSL8/mrHdnJvTpPPeF6/X1qtI2KO1KHYIBXV7z/MU7kjlILMv0xiravUvSL5
hytEvdfr2S4zc5OvV1vviZVecQSyOzTgo3MBbTjrHosqd3YG5qiHMR9vpIZ+HiFB9uRq2ZMd+8iv
tOFdLf5HJzaORm87PMe9BLRUYFQwxh2l5aoe2DOJiriKjXU1RNzsR6/9XJGUsrXbRa00iUcJa5UH
OIfrUKIjOttona6JMO97X14KlTyjBVk4wzNuQJuFJF1uHc1/w+ulQtOyw3xdS6Xm3XrK3KuUAnLi
1iG2HYCqsYx6b3kUi48FeQub1nR51TTsVYY73LjzsCVI6QTpudvZWIqQwmRe0AxIK0Im/UmYz4W3
L5igHJO6O8AaOA1plO+7Qk/DmOYzUgFtx2ZWhEvku4E3Wj5sKau3PhPa1bFgQ669zotu3SUcMoPF
bZubok/RTY0DcY6ZnXwC+mqFyO0vU8rsqRqLJ2ExpyJhzh8w6ZiZ72+NtnsgfPbapG75eZgqwNfz
xwxx43bg9zhTXuchff/0PMzmUbSl2HFChQ8eY0y6TjacEHIoG7npl0Sc7dSOd9iDcCD0sfka1T1K
ZF3g5tRamnhbj9k+0gSzuo21QZEx1iZO2LGvyRT8z1wTjYbOVe6qXvYXI66iMDUMefB7PQ0iU3tK
tHHdnkdEcY4faJ59HXXXeNbQd33QYzkAJZ8LK04BB2T9fZVp3tFX+XKaBvPJmnT5CXoXKV9RSQLr
jqhIc419FODcaHXOw4F91tgOnf8ZaditSNw07NDI3yu7usX5p4VNTjjNTN5MDiJAIYPb9ZNTn5A2
vCCeLx6nlFhKTXRbwc/bGFXRvLG8WocR7ed7tmC1GAG5HAHPI/ipccM5hUMWHeFdYYksJUzV8Iq8
AL+Z7mk3hOLkz9LvRmwOyvvmQLjc9DY+Gzsxi/fac+cHd9QQV/Teq5nbMiy90n12CTRD6ujooeEm
2WMVV3owofADKwG2wTSnGgHb+hJxw7LAnMwcmVHKguzz9eJWldsy+yLb/NOsa+6971fDi6kGjJN9
ckUJam9mwCzkNEtRhl4K9S9cJD4gqbfFmRNVfcgQSlAjVPEN6v1Dl0d5qEGo3/a9X997JX45ltuk
vyMNyDssrtO8aIt/IJtoehwUIAwiMP009Jc8vVRd96XJvc+szsUOo4CP6yXqn9JMMEU2fWQr7byx
Ry3dRtJhgwAbswEwgjTSNvQq1OrMuFYm+DXAvs2FBiRn3E7NF2bj/oFD+7Rxk+ZzEcPOJgY3FbdS
DuKBBVJNW7M36Xs53ZgU6ChjtbNKK2fzUlrFRNo3zzFhybuCWvBZHxH6hXjiPXJUrNkkkNQUn6rC
dj4RTkYs5rJmeUaoRzRRUDD0XHNjdZcuqKwpgIeTywkUwYm+qUzjA/Yay+S9rVpythO/2JRUHmHi
pUOcgLIR5Zic2x4tdF4O8YOvUYiKGwqtsKyG59Zfjo4xfqkjx9k3ErpY2Unc8XA+jlFVk5A62T5T
a33PXTvZ2WqHSwe6xzXuiMnq3wb88BgSmaJVktGAXXCUbaOG/S+vD4lVyWCOZBegYwAB0CE/S9ps
OFVkhUetec2SzHxKLTJKCmY75zQp6zMuxhLkmf8wLwm+yKa9x55s7XXxiRk9BVMW1cQ0RE8ibhEk
N8Ym0iwTSaGECmi3gUd+y6l15mqLxOGw0DAKy3ZSAaQNEdZaJcPUGjYeGdEsJ6kdkDqDPK4hHGjJ
k7fRh91Pgb8jEFwLSl8+TXVVb0HGS+zU5ZkwB9yZwisJy6I0LDq6XkS9S/bEoj7WtXXvQ13dO7H5
uaj6p1rO9gfNoV+P3ZZy2Z5304gJtZXoR2k+ICmz2xvaJNhbFs14JhmGLKyipEnUEfxFwBJb3Uys
TiaQTGCQDTMaszhDs5rkMuLHy0ZOu1pR06V1lH7JW7EhlZh2V8pTPhVOMOsgBp3Ji55cUVyapLeu
reV3Yd9U3yh+VZAnaiuypQ4TDaHjZA0fpkQloH368qm1MgKprJ4usVX5SNYpdozGI1GejtBNHrO4
zHQsdr5uN1fHiz7pqoVUR9LEPhnz6Q6Rs7bzFePRuXCpeoT0P+gyu1bT3F8NHd1BTXbfotqcCac+
X43MPzHV1+HX1nTIhmHAsuqOF7wFX2rOG4XQXhltvMcS7bNQ/YVj7szFyHdjsRwj+urbBdddkXxD
vkgLx0FzIlQmD03e3hJlca6mhOUxwYbaD6m+k5Lj7WC0Jla2YW/UtgjMLDt7gtALL9NPeu492W5C
1ztd3ie3/xz18ae6znl+avOu727cOnpCj0k+7FTFb5pGG7S3iiMauSWMTfey+N5HT2L39v16n7M5
BiTOymsUIfXUKl0wLpJ32Uh1pqkMF2VP3idB4rF+zaN6pDzTbpFADx5Cn2lhS8CRSD7iwNKgazLZ
QdlTx5Yn+I1x1Vdk1Twj0TgHiWmoNoD+AHsvscvXos6APKapKAEZG7gJp9osKPDq1t0YSVsRw7U6
FzRMm3rm5PssxdwTSqPVk7DOO/lqjCINp3GwOeTI5mnsveI4DMlwpKrOjz6pqXvLr6ydnJf4POq9
s2tx2zNmjomZ9T/4Xp/dVqkmvtmp6s9LkjonaXrtwSjm/NTX0bwjy7t9tKoZBFdrvHOGz27yyuKA
H+sfliVGQK7q+MLgwQx7Ydg3QnesLa34aW/WEzwmkv12yN+1XedDAWlTLF1mVe2HyrQ28aRxqCKr
jjTObk09o91ZmaQTWUDoHZkhEU2KCOtq59BjnT95Ze8HKFne3bjgilHUEhaOJrjN5iNkT9Sy43AV
ZU1ZoRKXvdh/Y8qd4h12zU1WIrdl2F9RBrXLZsz555WPSpR3JybNjse1HHeAhEAyTqS1wXjYYSMr
jtSNR7essrAoymG3goG2rOYkM5Z2tS1y/NcAOzlMefd9pll7jsJ0XMwpex1yn5y9yNLzG7ZqdqGR
08J1Vv4ZbpkXSKiqG4OoeFJwy1AbOH7UwmjO7qz0wImL9KByYinblrhZ4qz1c5c33UnV5rdm6W9g
45OAzdnCWNIrUIxoS5J8iaaB21ivSYl+bmxFUcASGTUROHXabfLG085AE26Z3xtBXpc3seM+156v
9tTXTTitlkw1TbtK6HsidQZC72zOMjBDd32e8k95vRGkafd1qeWdU3c3s8SU365GnNjc0mVYc03N
Kiy1kmlQl/DzCto1pgr1ZGJVtvXoAKuLAUsubYoWjNG8qWG/gsr0vmONBPAKyX/4NLjZp9S1wWQ3
t1NXT0dGdbhTmubMEv0MdKsCmzJtOWrxJAvk+d3AyIC3Qb8uojf23jTSRlnYdK3OPLZS3M+ZdvRw
wy4DCIymEZXPQWepXhpLo20yjqO3Y8T3yNp5b8DO4BcN3Tb/ngrsjWHcchzsNB3npAwwJHBIjVIU
4p6gjrOqT1gL/bssZvZJNUsaChwCZzKXJ8SLt2QXdPDohIEEXEe4B0nZIl4TYFhtaxsHDzSGUDd7
LFF1e6K5qsU4557zzuCT6dR7J8p933nf2oGwIN1L5y3I+Yy4a3/TZFUoMplt4Eh8w/eAV1TL35JG
S7aNZawxVVqYGwSiFszGicjN/HhTVfQCErFQtmQRiLzstk1YoEPVt84USgJGP5T9YJw0anpJh5yh
2zhwKAce0fKH2MklYjtQJLLZVmqq2k2CImRsnLPELYzbInSyaR0B50W/o4sTk/jRkxS6CLdhh56b
/gJIk/AzRRM9gGjWHlOGr7ceqxr6PyVau6Q0bhIvWMXG3aNmOaXalZ5ijI27aWxDUyS02hzOCDPL
h9GniNh90RhBxTWysVe36ORn/dKD7/qk8snNu0uEfJqOxT8HX//d/XroUCsmSv3P9R/+THHBOpd0
/+vn/0SL+q/PXX2GP/3HturSbr7rv7bz/VdFWvUffej1T/7f/s9/8ar+phMvGOcygv4/a8yOX96T
+scu/L/+xh8SMyH+oVPXIma1SNBZNbd/dOEBBtKGNxGh/ep7xCSJ2kjXDfinNsrWH3rwAgkv0QoI
zNbJIrq0/6QH/89Qsx/nlOu/oPO1kJoxcvgTwT0XUdPbbuRc7cQiNiyqpuaMIB3bt+aJ2XZjRsbk
ogHY0X2neFhSafufhOF+TerFfrDcHKm/qM1HcjSQuLtaesZ7SWexMDzWMFk5Hq/GoiBWanAuunut
MGIMGzGxgk961WBQqYa0MMtz7qdqD7Uky66ukfhgYhjW71KVVMcymimysr4Jy1nwwgIM5Djt2bsk
ZeawpXNzl3OepPGFK+FSmFJeVG90+9kZmpPht+MXrC9vVtlBs/CV/orL0t3rMpVvbZnrbH8lgWOm
YjOHHRlMXsIa7hptcl7mZDrosrZ23Cjtyrk74mjlDrtE91BChK2P2qUl26AX7ISkH2NtNtIx+0DH
yHgZ5uliAQTaiHSS9LcS/X5WKwWGknZDC+uFfrH/NNkTetNqMvfS8F+myXO2g06KuTmUdyjPmoPV
t8a1LUs0VwCYqHvS9FIO9Xi0nSS98bXi3e8asDKSPoQtnfzcsM/vi1obeNXd6DhHtrkjlaP4WhYp
Ow1w1a+rhKRhCNiSB2akX/veaLf+mE4fbaSqVRCnGbuI9OKwKQvvzTD6fGu7GX0xr34p0/KFBTW9
qRq5EEY9Dq9Rp9lbJC/11spTN7Ql5UHgjhUoFUqEtVhN/fLBXSbLCSI9kcf1iXxqBuXsPLaNtbtW
5AfX6AlGTVy349sP7qbSMMWAMTedeSMLXJmBk4v43spFfjvPavkQjQke1MVqLtSRdHVTfbL5FLMG
C+ZaeysrEK6UdM8fRkcVF7uU8yUBGHGzSr0JKo7G27Ft2l2l1PSZRnWBg083OXLkmvxGfx+zaDyC
FizdbLyApUgPk12pSxfR9QwmZ4y/JEahhYWU9iER4MiCuZcu6bd+Qp565+pX4GaULpxdi6Ct1qN7
4wx+EHuqf2azRxffmLOxYxrT4I/X3XRjxAkxxolBi04rKQaZTvjnoSwpFjoJcj6EYkF0+zhd0oYv
5TYO7HlGSk8xLICSjqCRfKvhlW09r/APbpo7l9bWvji4mplnJxnVPCfmwGyxtAVrgRSa0pQ7N9P9
FyBceTC0Lj5WQG+l53GqjW390+CIYmfAK/qcY2ZBrlEyQXEG+seMjim0RTd+BH1s3mp55G7wC0S7
nt0/Dqt8nM81Yatd6OFMPHlOjrWxRP6xxRO73Lq2VW+XBhqB40xrlWkyvMLfdF/g0957xdg/2wlx
6ynNBpqYEWNp14+ZM0gacXbpe3RqfH6SU0OcoNvpK/ThYxMs7HpbsQwZLq+ICdjoLU/DRNbwgDpq
l2Cv2CT+zC3prOgm8ar21sFyJyKvfUST6dz7Zn9oK3P5MEJJoPDFBtnzWkPTM6i7ohKgyejUt1kJ
WleMQjEhk978kINLvinVgDQTD+pbqosGxS3Aon4EIu3NaRIdK4zoD1PWYDkFk2JOUr+BtQE2qB7v
YqtpLzPVS8jiqV8VVssQgBgxUCW98EFv/E1sjvpxacQXMdrOVZLgcDTEYBxL1TtBKjiJE/RM2jc3
ed8aUbKJUklOlpwj1DFm9wBYZv5KOD1mKM2dGYkBEXHnpkSMSwY1qjUcVjiP873bT3KTMgxB57V0
9Dv66YmYbmvXSFKoHW9wbvSpwtNbsxD5zEc2Ue7Trqt1qNhyRC8yMftqrW5e53y288omuByYLmtf
RYZVaxoTE/qr1X/LIo2JlZ3W96rh/C3pAqA20N/jpYy3uJoIn62HYe8NSuOkh2zmFYFPd2nL4n5N
p6OR5FShyaHgbBQxU13SlHfj5C23usCIrrDQr4KnaNlaMd2b0oKeA5XD26jcw9bnJtbXeKVZje70
mbYNsinWzGL15OPucGztkmiwn4ioHl8kJv7QEnK5d7zR33Rm7bz2XsK7YToEcNscNdH0TrB/e40F
K6b8tlPrLS8GkPtuw6mEDMv9otfifSxjC7bc8gQyJQqNcTYO9kAAKaflyH7g/DttpL54RyRe94su
jgiUmR63TPm3uY4DjZmy7W/cdLgbZR6/aJNdhllfqmB2quQW9OtMZ7rB1qnHTnPyzcY9xTjp6Pvl
kX9g3dRQXeoXJrrm/bL0t32cdkFDSsS554KFNs8e+kCjPBFlGPBKICDCJHNxljg5+p52n88+j9rY
1h6d1zWFuIo9/IpOv4u9rtgq3Kuh7kWXDGTOvnYUNl5wcGCwOHySQmkdeaGSXV+iTIq7PguMqWi2
9H5KlC8ty/cYje9JqjOHH3TnvAzK/SzcovjUUsBfbdXeKbO0HxbPetJnS13J8GyAvZjuse20Ze/1
LuZN2x2eVJn0J9sp145Ed0wylwZRntb7YSXu9gsE5WDSYnVKYdcAs4ytexVX9e2CsmnjsXMNQZbd
CY5Ar9pYjRfswUgmwdkNLyJNtUOxDPallGl2MlJ7V5sZbQlDh7hkPePdtDiclMU2rTjIuvFQPPpe
LNeTS/NBep0IJyXNnd5EXz3AiCHUumTvKdp3Ix5ibDLFckksazxLO48/Dj79FlcN9UYuRbNh4r98
s5viEV8NnS4GYw95xFfoRN5xGqD54mTmDVKGCku9eIsUg5SytpIPCGwvxYgSFhrwZY6E9VQ0OVDI
zMS1zRBhj/fI36VTHr21/TwxQU7bN8gsYHv83t/WA6EQ7kjmR+Got7X9z7mH0QnSiSBfSTlFn7xr
vQ2pcTb1wPWy5YTvKiAcszhP3dmtHQueVl0OV6uoY5q/9NYS3S2eMs2pHiiq8nPVeGz1tkCalI45
3ue67gRd/lheC9ropWNKTrN6ezOaVrWpJlvbJ5lV7vTEiIkfpv3XGll/iCHlQCcbM+cWiNd0ZMqO
n8cjdWbOMhvi6PiG/ScLa5dO0X4cxfJBQr4Mc7sVJ85j1c72xum99yKvoO3K8TDKlcO5rYg51Tsw
Hzd2vUyfqzyRb84Mgo0y972M/WjDF/lW9mWzy2AzEYRVae2RHoaHNTXXDohzcyd0m7zMAmHl1Y2c
DBiUueVsOVciC9SsGANwa5ALvDCvKx3MYEQGgqzMsw/UvVis1zgXw1l2OtRj3PqROC2sA7DdqDYT
z9MPDJX0b9Ca7aAjjjHoO1CONTa5rUgZEFN6tFtV5He2C+gjUPoM7ooYL3CnRnYEQNK/1ULFB/R1
0dZlaMVAelYopVWvmLpratOMBdOQBiLJxybRW38nevo26aLfuZINidiZOLuKsROfJ+kWGLg5AeuD
UUC8zI1dVC1FJR68KeqzaBOhJKk/p305QHwtq8IvH90pyXPrFNlemp+7CQLD4zgPXLW6+zJpGlrX
iko5yFpHLCa4VOEC3kBFs7H9NHc3cxJXG62Lsi4YoNx+lQ5yv5HoxYAawf7I36nftBhL/GwM8gg8
bWoDMXjTRldeeuoHr7lhxGBz+HbqV5M3z8xnBEgTwytaWM2mB4u1pxsj6yCWU4WiVRc3dTp5jCgE
/ZARQdXV7Z3HJYGu27S288UqpIoYZi7yHNn+uLUXn3lB2ZhB5pQtRE1Z3uljQpcEnOcqSBr7A21R
emTIL+k1QPyrLUoYY1Sr+jPNDyRtWVu3sI2zXinr1Op4UlJbN8E6JNPGduYSbaXG5+m5rJ8mPIYv
SgCjQAohgfIpoRlBoxc5xuoxu0cyiWGl6OZXRnkf4szjsuqFPz1MIz2SIQNpsHZ9dTpcMcPyTikG
w+tsQjEj7oMolujZv7fmqLT6Y6aQsQZKVuVpKrPsMfaK7rWj9OTMpIbrXC3xQ2kvauetFzsqk2wP
OmLlkRhlctUipEBBXU3IhHupH+dMNQ9RVOrdJq35oz0w0SMy8eqeAVQbxI1onvFM4k+RXvOxqsGQ
IHO9WAbqU8b4unYwV8NeUNGkQWWln7HHy4chmVS1iSJZuTf9lFh3VdK8u0sL0JLchjgJtERfQqx7
bPvpEsPJ0YvI+ZAXc/GSMR148qAq7HFDiBh3gTAYJQzdU84I68ugIZxFAAG7pozlhm9U7Uh25iVE
hkFb1mHAEnD0oNbBk8hkKLHHTwtVHxW/hukVRsB82wBnSDaVX6T3bYwcSG8WxNtD1htbhadwa9BH
O0IPTo/JsmQXOxnSY2n67rWwOTm4k8PDpGufCq9enpIYuh3yCocfBwiz3up2Pr/kLBUGT/7IICNz
lw/aDOel6GW074yhuK/WOslceK4QtQNxQDZ3iowc/CCVL44IuChVFgkytMWKO63WQlbY7cU2Ka7T
SrfXFQxG89yMbsJjl5XNx7obvfKDyDNlbgvwtuZNI9gFgoEONcOOhEkIyVmWs3zR4FOOt+K7wz0B
P5pWBJO8dNUkp8dl1IDdBlrHgbe77XWFkYBBLEHGMvAxEo9nLknrebs6bpjEm0rUsCn/R2kNKrFA
qF6XeNpHmkvoWVFOzz+0f/7CMiZ+du1xfNCxYdgk11CV0d1Z/YY/ugAk4JusMMV4jTVl4/A1kkAY
TIim8qh54IPjN6M090NmnBhv7zSr3dmJ2HpudCN73Ct1t+Wn7v0lo0Gd7n//5VbH4I/9nu/fDWcF
SkrX8fEo/PzdSjE0lR5BdpCyvbqSWhGt5d9Fn/zVh2BCt1B3IoJ3f70AdtZNHHqH8ZoaOt44jsBa
savc+p9Wkf/uZuNN+rlFmf2t+7m9+L1l+O/e4/9HLUkTQ+Jv4fsvqfpcVyqtfmxL/utv/SEOdjC+
OgbaXwOT0CoF/q+2pG/8wwMOQHilhRLY/e6X/UMc7P4Df5EBYoD/YxCmyddgL/uOGTAQB5vMl21K
OMRl/xmQbX1F/v2YWqRL2a69RjxjlTfEn/IrkAoneW8nztmPa3x5pZhubVG1B2gm+RJ2rbIRRv9X
z/YvXtq/+kAXmy1ZIbzAjvjlvcj51RLiz/dUGm/Dkog13e+nW6fwmgPFj/g7m9xf/EDCC7heKKrJ
GPslvgUoD01Rw7UoiRPnPfP5ACa64lHZsMZ//9N+Xo6+X0tuNfealQiv868BHW0yJkTTC+sMrMt+
T92sPdgdjdzAMWJx7ZbFf3ZzINRtZE/3v//onxeCf340cAieBk8X2CnWq/6DwHts8HwAe7DOysis
Y+Ux8wk0u0K1NsRVGf7+wwSd9F8fGp5AwcARnSBN81/u4YQJuHSn1DqPNSiOwJWtPgRjpmNdGDqX
lmZlQm09oY4EI84gelAfLVEXyQaNjMbJrfL/Jnzvzz/fwY8HFwMssONaxnpnfvj5mUhobCLlPCNy
4+f6Jcu5rjEh/X/8LAYKNnF2WAeIMfv5s+LM1Itknq2zqUZx7S0NSXhXTsxgDfn6+wu9XsefX06H
/QNXPMMDvE32Kuv/4WelnWw1p+6tM9ilb8pQ/rY3Su1v7uZfXTsWIeEz6yDw9deNSh8yy+2MAghs
rtDaeAOVtOcwvxNLjl/l97/ou9Pg15+EYlQYDvJHol5/uVNeZAqIsMI8I4/Py43JEP8sIg1PbkHP
4dVrcvvdcmZe0tSf7slpN4/4XM3j33yNPz/BDrMiegTrq2oZvz4wkSEwC+KMOwNeXKuDSgCZjHzv
IjXFE0rGbbnNc4OKbF56TPLfX15bEn3ACtIefv9t/uoOWJbpW/56p/+U3JUXUIvKXPLyDqQBMLCi
oQVe6mzBCtr+5x9FrefZGEJI/Pz1iZqk1yLxaMxzCo8QcR7D/lArJpZ6z+FO/P7Dfl7qbQOQArM1
F+ybwcf96fGVSVcXTSNhBc46tElNa+UrbjhQuaM33Q7VGjLw+0/8tSLkI6HkUAwyZ1tv8K8FkcwX
ywC65p/0qE33llfBzVatAvI0atN9qiLuq2nj10y8zHhMY16pkin/2UUGNm681GkOMC/bw/cVpLNy
DuTzgpUO8Z0GljcVeMR+/5Xt7xFR/34lbDZ+1H4YTMi1MM2VQPHzW155U4Z/wLROqtDprizJAmLc
0XYxCbN9UOslybJIQLIWwUKdydnZrqXwXdtqWNOBMfMdozLiRkZ23MG2IyeCRgePrp8svFdGo7Hy
6ozcENqKEb+diH0CQBJvwvlLgoGe8dda3Vm9+fy9jUJJcSRkvXntBrc+e7FlnhANICVaGaK35H1o
LZxuw3/uCNjIwoSmoDgIRfssUC5I/k3pJ0gdCPeIzCDuU9PZF1XDZ3hcaUclnLgaeAiBNVhU7H0q
xVUl9cojpen7Otdut+y1aPGd0yhNskM6PCabuRVVcsqLpPuSZ0Xz6srKkKdSpPM9LAlgCUYHyH/t
zqRvYva5ZQyonBXG5Y3RM1o8nr0ud97z1OBptzLDfp+ZzH+hN7Xu0MNgv5dzbnyWS2QchsZt7jk8
lnt7dDHN0LAcAtZf5E6jjwclFLMQj5qJGMCaPO9iMTJhyGBxRSNCXEgFS/eRaaovreq8jVYb4rFb
DK4PDVf3XimA5QbMpS8SC4UTlM7oP4upVV9yPLYGxkvSOBYVcbT1cNQ/94z1/zd7Z7IcN5J22Vf5
rfdIA+AYF72JOYJkcBBFkdrAKErEDDgGdwxP3wdUZnWKKpMsy6w3bbWpMaWYAIf7/e4912PUgH86
jCr+ljKbrPu553tzOJItWihP1Ion9U52XgHrtcRTeYidsS/AVfpc2aCZ8MWVFWS7U7JsTIzMBzXR
gDYxMxvFq55AUlPaQhmNW1F6w2mZqyanffvZ93K+TcQ82a8pQoGkqM3Ix6+1rJeGBqa27xzdFESh
bN4Mibe83KIPd1894l4FV3A8xcDOAuucUP3GT+kyIV7TAUXDkD85PG8w+TILsCrBtawzI3zoTByj
+6AH60AcbbyR1pLg7qkhG3cTNXbksSvX5ugv4hmUXjHHjFNK91lTJPDsJSoE5161WF/dyaLIUcz2
YZ4HgKjg953PldbVfTCn01XRwAZtoLJbq8ygL3KHj6c9pYxFj3Ex8TJdMY44aeeaupsu8jjGzgyo
yPtV+cp3swUFFZgXpZMQimEcjOvS7SAwuoaDHDlP9xDp3a2q8aKeGCgQo+eaxABjdtVtL7sA21Kk
ym+12/avgTPXR9f21ZlAMSOpacyikRkpK9MCoSm3gylbvgSAM4/IC22369zJe1kwFpuur6i8AKNF
wlkEPpZGJdONldUY3sBMncNMWwOUxC75HC/FD+h78mryGC021RRdWFPvk5HpBu9JpmW/myo5f/ZI
xJ4Ese+JKZIzf8aNznTatQFJWJqfMYjcZYozVJ8Zpfn9ptIJoA6TqqllMwpQbGwWNm9bGltyTnql
2bzgprExDCdUD1AlEt0pelvg5zXymLW0l0yumr5FcT1sEyM1bqewLh/TXDtrqnCxDFcpFdzNItDn
7bPfO9wfKXj5CClrrXRLE5Ks+YtwEDhjYrL8A/GvVzkOKojqPq0MPWH9EEQRwpAfxPXyyy+UFysM
DrbAhbEBKz9ANIl4IadAYcbpmhyDWtJz0HfJZq4nY2uXtfooc6+Ra111O/JfE53D5gtRyfoREQmj
WmiNu87A/cyky9yHUV/e8lSaKedheb/0nGaptTL5Rf3Yzi5rOPE3Zq/kDVWCXNQGZbEUJke9dTZs
aFckjTkxbIn32NkFhkE22EzW+mbNatt/jVuTBameQ+t+MiEqrsxehw8tg8V4G6jRNbcLww00IcM+
vSoZus1rm2zNE0OJ8QZl0Vi/MVn6LuR5HCg3Ij5jO/UFcbHlbyMe2u3ztGcJYjVmYwY65MYYOUcx
uGcL5+nZutdyCRdSWY6NYoQIdnCtXD5JGP+8NR/NCTm/KkBSNjH7uYSBvCVqm3of6mhl+dnNkkC+
TpLihU5D9NoWfk+IgW6mb2UwNPGapLT7KfSi8MjYpDsUSLfJqhrjVKFJZ8mXTvfPGTylrctwKV6j
NDfdI4E+ZXxIZ1mLA0jL4Kyhtq29Is23CbaYA6OQGcdsJT/OcFR9+OHO8FG7bXnnxfKVUM/jSOXY
db5YYVlXKezB48L4Skn7a4z/7+ucpsOHmCGYvOGOz7YNafZw5cQ++UCdpDl83aLzTx4eVwTJoZDl
uvNYx4lvgTA79OFoXjigSa5AzYg7bx5TMKRlrnBN8itkazY7IdkUQjVb4k0F9JDWuQZtUVw3lqPu
yhRvScsA4cXRRrGt+1l8qUNPX/SenHEHRjYtEF1AfCGHF7oaFElcbGsFy0VIS11WBs6JrM+XSBrD
BxokckDNyrzCQuZ+zgePOUdLCRrPysoir0bJ6Dl0ppRIlyug0Q2ht0p03D0zsZcXpS/CbZW66sJC
C41WDm71lkqWKd0x0VPUbuAgAsoLKnzcJUWFkSmXEjY61SKSgf0l9G5M8YlZE1aJhyesaI3aml3n
pKcxHUd3HdQmWZUgGuAEeaM5yH2YqO7AKde4RFOtP8IXt7FW5gpPDDhCk8EjF8954An/ihrXXSnS
GXsSTdNFlXUlTOgwibpVbXG8SFjc9iRoMDVLdhYGPTu+vo1tPZBDzCJXcl0W7VM+9sDap8IlEGWz
jApzwjlPYhFgl10St1gXRCSuesomsMSHDUUxQYFDJmf1/VbbHmSU0GjmXSzp/nIccCBiwTh0yk/v
utJqPipr6h6Cgp4iDWILsXhkLIxVceWYSWJhJMn8jWB8lq6tCHytWfY8h3qTqVhkYO/aOHxVNxrP
+L4qCHStXTIA18D9x49mOxhXbtozbkhFI3aBIVq41rJyd03nu9gv7BQ7ruLafY0YbHySgehfmFH4
Xwev99KdKT2GUl1huWQO6oJcW0Qj2isFq01KX9w8qQPM6Vc3GeObLisFTznM1ScwEJh06rpqNgkp
smnl+G27puMVqnsxZFubaqZ+A94sPMXztOQpkxoR21VOH1zkik4nw/H1Y+JNtVr78ZxdmwzDzBXT
hOIazZ6WrIqk8G1iCH61AgHJOZQYI0YFRbGBW/H/xnj5/50WylHZ+aU98+q5655fuOW+9X33dz30
zz/5px7qhX+ENrofCgoGRQsd8F96qC/+oBUUuyVN3t6CVuXU/pceukilqKDoOy6Jt2A5sP+lh1p4
O9ExFz6qF1oLfeEvk+qfcuSvWKs/nsUBsPEKWIMWVgMvZobvJBeIKZ6RS0Me4Fi+JnUc7o2AAFMa
cCj/zcHvB3Hn+yvZ5qJCUL5Ksda7Vyoqp3JmAjA8mmb6wU35WVb1iFU/Ub85Ff+7z8RrgJClDeRn
uGHcc5iCUywP/ZArijfN604zE/ea+eEffyRAijbtHrwcucl3uqAmix/W7SwPzLBf8yJ/BbvzmvHv
/8nLuIFj+fziP/1Gvce5NoGndYgMyhbDYCnfTDyy/WP6H3x1XKvUH/vo5AENKT+ezWNpYmRK+ESa
jo3L0WS4FdV2cNlW2W8+1PI3/V0F4MILPChusEAWhsh7TdXXMKr6cJAHtib0mShaKOPxAYLag9Q6
2Pz6G1xUtp9eDJGEXa7NcOq9TGJYbs29WROMbTrAeTyqD1nQEAMx0mczWCh7TitWuE76f34pBh66
DNPRpUv9/e3ltbWyi6SSB9nQbqpaxvJuaOQPRsZ/+vVn/FE8fbu/As/1bVYFJDXu6h9/ulllRNvr
Uh4MhchRcojeZrYZffj1q/ybe+uHV1mExr9JtAFtD9pQBa8Sju6F3Y4PgNOrUwV54z/56v72ed6t
F6TqklpXvFJSqImMR/Y80wq3/v3t9U6j5ZsLmR4jky3m4AWq9U6jjdUQZcja+aH3OGq4Rleveur+
1viAHkl5GwdDSNKRWWLv3DZ0iaj0p998q+bP3yuDrSDg4kQ/BPL27saj0sYNylqWlKHaeLFMTcZx
kv14MzvltA0jkz7JkBNfQ2v1wYQqBa2BHagglnjSjUudK97zcRuMsWKLXA0vNKeCe8/Y61GhsJRK
569T4KAuz8AepY9npJVvcllYN0uDikVTEKUVJjizteKhdeA4W94ix9i4720O6hEhFg3XYzMArTlQ
x0IafarC/ZBxS+W4AuI1pDWjXOUV032aT51j3wOIoKy62va2X32g3cU54WYaXpqIBw1hM967Z/Eq
GcevIeg04pqPZ2dL0aD5JcuXOtuO92NQ2P5cRnzoXPdyhwVYXsc2FZm961B2S6CLHl5L4SrB99yH
exiacteY0bilewk9qkXdL00+3VyydpYc3td+X9nryGd9S2I6eT00lDV1gNauTyTHZg2q6ETQGP27
nVHsaTHGt8eUJQgZSMCWtT9hqHYvxtjKPsdBXTx4A+MXWFfyqfFK+xOlbeg8/oDAhy1RzbwnjeST
+OQJ1kJMLDfszNF4mNIXD90QgPsEEXYLMqv/HPHVXCRZI689lb2aFr+pyjz7Exi/17Ebog+UwtZH
Uoa8e3qzLqbCpqu5JW2+9O6EBU7N1Bvv2Eyz67b4tJEu072OkcrYiWCLLygFPaWxgJLGiT89x6D2
rjMvrl6hOVhnqwY06qnCrTZUlBC5frvzCsLmp9mM6Jf2+MqoJOBjqiSDEZpMa3K4MRrTAqmNsYd/
Dmcq9soGZwpg2qwk4KbrmWN76xX7FMu6pIVGy3CDW57dLkcyyAoWsf01BAfkN8+sWuJL6fwpMCr3
nn7W8pV8PjC1PCaX1bN4MyHj9J1Z4QMnDeuelADXj9uaLkRDx9U5skuia4gDiH4AiMUK1wI/QR+N
uUv4RGItMWJ0TAKfCHBNy223kP/WmrD7dp7CgE4pSc+xWwwyeehpANF76p2y5xAU7w7Ujr7y/Bpr
URrqYv82yxgwJzzO7ZzvXal6vHRGa5OZkkjwSz4Cx3DLQZi8AWSPL3Mou6/2zL3lcEa2NrR4dh9R
A+RTnDku6UTAseVY82ZbZYgT+j/Ja2dgomjl/BJuEuefm9gmQbO0aZPwttd5m73CCggJYXnixBux
dlZM27QxdWiPSekl55h2Frrfi5CyLn4hJXj6KsHCmgRtsHERtz9kulX5JpFj8q2SoXsAPqIxACe0
SzqWepTdpPeirPH7hfASsQkG1Wlw0tcuSunfNHoTwayAWhN/6xX52qSjorexD32tv6hkSk8lRS8E
7KVHAQc1zcnSJk5KcMTkU+gr3TMFisnc7kC2ExYFQP0pwBx9YYYUFKJ9ruN5RJothxwgBrU+uOj6
gouaVZE5xwLXqVRGVRj72l1jcNfnqsDppmW0Eh3MZCCeLk2X5J3pRS4xhvO57TJ7TjsDqxlmv+eC
Oe6t0OhRdTxY9xnI39OouKJyFtTPKoyKtVkQ1NUVH9/taFFclUETXtPDNrxgJycwGi+JwMTJg1vL
w1zlmMWz67JQLvLg2oMKRkAdXqDdAmSI/Kaic0io4Daq8/bSGhQr2dtmT4Vts2dMojYZsUo6lWjv
9AZeuq2xL6RdAHrAsoaXxK2OHBBJ2JBD4go27W2bFtdC0r6YYMHjRyjlddcsW3t0qAsaRrmYCE+q
dFVaDrQBvp00CplleMravq26Q5I+9TmhngXXsNLLNeIiuBHM7tNz5o7xTk8QMUBqZIAasEyds9jd
dU42I5sDKXbBDO3pnoXoRZr9YzryDc1+VG0IpLRrHrhEgvmFSauabbuU21fIavFCPayqUzSr8rZT
rD1GzOoxAByrcl3ynYe12onMhVRGwOssItv8Elqqv6Arii1xra4D8hLoVyCys6QO92UYG1d9m16L
VOhHI8s6cDxJfxXBdEtNMXwK8inYBBOWcWe2XGCQkCRx7JXX0mijmyIHLNSWIAsJwMSLJb1PP3I/
P7TaxMga1MY2iWmDpo9eXjsTWUsei/Eiu3wx3JrYls9DLwdAeTTSpHhoKlbetmLFMcvAuifLIekI
4ieV3xdZz+lAufEb7Dj+UW/hjUvPj8MMYuKIfyht12n3FRVUtpXIYYWImVHRRasgdZicM0mygRBg
XhOb9LQMjRkSIaGMrsrbZaakcfqtKMFLAZvEkJDRzIYGOk9p42jHlU+RS3liHmVK6ByqOYmiUxtl
lZNdbKJmrH3vYhrssaTryCxa1j9iMdFdYw/psDHzLDH2TqrL5ETPktB4SkssuCdHq7paRZ4Clk9E
AkmRXrCw9V+7CRkUXEVefpOux5wujeGDBhh918MUth27G9RcNGvW9Snw8wm8TNv3N5VHerDNHEU/
bRfE2ban0NDZzEJZVNwQGf4c5CZ+9XosPgyZGIuVtGjoW/b3Dgh1SEOnqsjyTSrNL06gDjJb4kuT
gK3nGsnORnrZsHDoW9fNjCtLVEa26f1yYZXY05771KZhMQORqoqgP9gNNE+69J7zxM23/kCptm3C
T4Kyaz2WvT2eFc9otCyE6w2UN2WsYQjOZ27X+CUufEutctDKNDSPIbtbwzimiNjBzgfViirvsXw7
MbsTDmw4RYEaFe5G8oEPuRpQm4PJ1b/x9YifNqPLhtgiCOoxnUe6eLcZlSMU0cBR+SEpSwfbcle+
1mKhBwx0mpnYhB22VgUj2myVZFZ/1ssQzsKvfi0ttlVpWz7z4KpOAaiMzWRz1MEajGhfTMq9YFbI
8K7NWlrZGUf3umEe+cZXjwmF7MXISYmitzL6IBzTecbHNWvQazNRHcPyb8kWsNxG01g8mGlKGmpZ
AyviT8F6mHPmq7/emS9wzB+PjqRlkWJIzbqCmcgbj/dvBx4IPUASOrM4NGwmNpBi9FUfKxM8Rsue
qWebfZ7EAvKyZ/ZYedgugwTbvehFCVbJCn93bl4w2z8cZZf3g2BjwdFctId3mgMDlJj1gPeDd+0B
ufCizXm+oJA+V4W6iyYe+b/+Bn46qHMxYOjjlTBaLS0/P574GHW6ZTzIgiExG9IqUhEPa7YmVZW8
8WPr33lV/t3Vh7dzsXaFQvyUHK5aNnsOhH4W14YhPCsmxchdBXMn48LqjTrc5nB2r7GHDbgqeAQP
9WwBXIHRsUuswqCyvXCf67lB/e7Y4/z6+/jpnE05kRcQgzK5Q/he3n0f/eQNnkytFMjWlO5dI64v
pDP87h78SbHgVRAqsA1h7/J/MripVOnIq+r04DnsXD1i9usKS/K6sUM2+V5eM/XGO3+GdKoff/0B
7UUp+PESY3/A2DqwQssS+DV+/MXpm3N0WwzJwaHpLaLxpg4vjSgKP5eKfWlHddd0HRpu+FA500OO
C/sV2sew7SftQhyu6UpeFjvCJTTZBWIb95K9nJNjt+zi8JIZbfe1iayoPy71F/F32eC/3t3f4ARs
7KWsXf+ypv7bCuW0Y6GV6Q9q9fc/95d7N/jDMgEKLIv/X/zev9C+1h/fRWqbG/ZPmXp5cvwpSwvz
D3xGjI6xfocUclHf8A9k6feXPw8z0L2cTakKMSGgLqvy31ZdZfZB0uskPjYjQHazbKe9yOCWLVNq
jkpmnLQv7MibF0lc/jdijBe8X/LQUEIufZQ0gUvtJyMXZFtyerLL6SGp5ys/zuedYXdgPuZSckZi
ancgGc/Jz7b6ZV/RTGC5dW1jSQCL95FiMk40ddzRfwMhpqWM1KJdZJ1H9ngDkDTHBWLgCpP01OC4
yFI1X0SpPykwH5IRGY3oV8TSzMNylidgmzhjftZJpb/5xGfUuknTedcmIuxWGT7nu8YAy9JintgH
w4Bi5PN+pUimva+d6FS7I9+bB6j9krdJeUA0UGogwmresQDnHJYMcZzUlDGFBdWAVlkQxVHtByZu
yjgFAKMoeoBY63/VsYi9HXknQF2mjuJ0W6p4bKHmJIb7lJghm2gsP2GfXNS9wPq8GpAFhpsGk0dC
VDEY4vMcGgnxiRzgwt0Qm96OpFDZOKs0Ltn02Ay2zQ35GOEeLWf5J2MrCf3Hsc1ltfcak7wgPlcS
J7QH5OvI6vx4Y5HDFgGnYs/CrIW9KGIEwXMj/lLOU3yt/ane1uZcALslkyzxgzXB46zG3gDwMozb
oWr8vfLmTc9/w76j2xc3a/SZlCGdxrkZi0PhCYsTG9LcEKFXtBSyBmGxL9vSvKICt0AX2slWB9la
4zG7aAEcNU4jb5okt7lgJAO8XqX12qAC9lZ70/gRLk/+aCYk4/2CKLZwVU3+Lne/GdWY3QVdj5ZF
CzUxHSPcJUykj30QiqfMZVNInItHot9WxzSs+pMT8ay0rIJKgCy/1SPeGAJasU9yrdkbNFfAMqoo
Cp7ufbgt7coIw+6Lyxz4rswTfzMC/DvmsYf4N/TlhW8W3bYjLg0BIS2Ae0Hcbwwr2cdjHb54cQ5O
tY3a7EYbXvMca3aS8Iwm8xxOAWHGPrOMU5V4/KnJrMxbXK7TfmiYvQi7uM8MIq/UZYOmt538JUW4
efAIuaNrCGcHnYgCJih9zGrItLRi+EZ6MHiekUu2oawZjrIm9M/QSrfZnFJ0mhDWyeVwoZ3EvS44
+O2ExhHIAzOqD23s5Mc6tLyrqPatp9FWwdmibhZRYeiPYZYXR55gdHg7dXffqTq+FoNbU8VTiouB
YpxzERQgumPp3rLhxvusZfbYVEn2xC9a7MdRiQtV08msqkqesWIWL5JjbLSO2tg/pa2YSYj2GkYb
2+AS2x8dQDLwAST1ZcGJGQIwXq/0CtObuA1n02ODzS1xKEaaLFYySNMT5eTiWgWqu9StSD+NnTnq
lZgG80rmOr3qk7y5p0JgINoNsEGQ991SkhU+AWfNOKF6/UXv1qGxHZWfnUxSgvbOKpPyxjXD6EgY
bdj3sxlvzCwMdm2j3VdXIziwJZg+jZmdb+CqYleS5bF3o6vCrIm1qcRcTIHQuKv4aIfyYnIXrEgo
4Gw56quiqIpYY1Uclg6gVUWWEaZKp/dtWvk7OzHHzTxSLCUjvBNmM6Q0KHKw8ypnuM1qKHpJHkyH
ulXiNpqG6VGhAb64kaVv+UKi67GW6hNAYWuR6coN90m/qaFYHAaK+fbSyWhDKlWdf6S5o9jzs3O3
GEOzC/1cfhUUOu7noASGOEYEGskqkzUt2/7GtzQHF11O3jqziWIHkAFfZ3AxBt63SHEpcyaEn3gv
x1xfIZTfSN2HZ5v29UcbJMZ+pmFpN4oJTyYeEPPKo6PrKuzz8GyA2ridRk0a3eqm8JK6K8SxgqqW
RkkMQdyoJ0Wt+WaGV1uuo6GHBUHw7SRrCGlx4CFnKlFdqQYjmS9YatB5Lgwa2k9241gfyGO69tpk
6LnuGm96SbKB1OlgBHjnVJdlhw7x7wvgcxjhWX7iWRJuo6a2P2cQAI9F5xb7hvL5e6vNurvY7/2z
DVp0ZagGuAhx9uZjV6kQcq0/X2lUrWdZK5gBqE53RYq/idR151NPNkxfJwCimH3iBs2wcoeTEZd6
H+GeOyPqiZNd2NUuSJvmYUALw0IEzmxy9LwX6Zjc8mSTT16o6i9BX/mvU5rj5vT6DhNpGH8FppgR
pJ/BgqIMDqgTF9NICI6Jew+3lPe5DrGyHwMSgPgVu0I/SwSWYq3tQRRrbzayU5E4zUOkqn5Lo1p9
DNyS7KnrZflr5Vi0TIe6+RTEledtnTouv4g4DvYVloorBcLjQmOuXhXj3B4T7HOhylF6JpvnG3DQ
vjj3eMOvs6DsrnLchVsVdHBuawOdqcdjmjk56F3KeSjEq9QnIhAYlWWoMZg4BoHjTgzqls724HI2
wumbKVShFnWVxzXzmfiiGHqDFj54F5yOWXpyWNGkiI2sWhZtiaAyk6juzaC+Bssuzik4eJYlpjU5
7hrMniSe934P75NrYkjRYfDlrEuL8g9UneA5N2e5M1PxzFm3vjJoFf8QwNUFWzOKy6EP8ZgQTaYC
nR4CWE5Xyw94asgi7udeoU1V6Ya6TvsKQS+jQo/TSZvAO6hjW3z0g15vR5+kXtPU7t7wMpiooUee
GJj0Bq5fh2NYyCNo5u7Wd2PnpU9abC5WL+eNGnT4wXLpN6hwV5LFb617RlGJA/pOOjd51FDOZesx
vC3iyt+jWdbrwRSXQdQCC/FKx6SUAdqr442nsLcDcupG8w3ZE1umMUG1jfrGP8DRBqQE3WJdRVN3
AwpB3uSTxDKX2PZhFLAMZxfhfRhoL95HVut/Yi9g348izJCBMH68BqWhnsoaeFSUy0cQCv6Wkvhb
Ybddxucze/YdjLiQiwbQjFmfoZIRdzl6tDika4bHLTAHvFIvqWxLBvxpNJxsRd665vE2QcTk0nSg
s2W5exOxN8W5y8OagnMn28Hx9qk9b2b2HxQrqLOIVQPDr32ozLa81oN25DqCfL3neVdRUYa8D7h1
2hmp5R+wJQbXvuWThIMU9MQGzQNem8HmbabooGQWEc3PcRj7VmvlR7eIrTVXdnEz1BJgT+uMGQZb
s2b7qrtpm0OOu/PaxYA3i+HomVN13ee0fNEK5LVcHKEPpXVOgKnm9j43WVbo8WAzPbJTxbZpm8MH
bRbxRzOvi4845oOdQ/eBs4aaDeAi70OSOx67ldiNjiaILPQok5ASmEWeYMiJVEthjp03YyyyU9aT
q4cMbuGcTGOCxWDs4u6bYAjYhQj6/WQFciWa4DLSsDnGPmhPbpE0t1Rsiyt4r9M5bGDKhnnK2ZY6
wVNSUbYas/F/nAH2Zo53H3vIn4B8zvgBLT6lcypz3/pMV5K9wjxXrJuIZoaVX3oQAoDqTIZfAZBI
xKZRRreVYn5ukwkKo3EbSNikYaK9pfWHaHMDaLruq2FvCgOVHoUbuId9kRYWSIws/sjPInYKQWgN
dE9tRMHmxijSa+2k4qpznSerg68+avhhcZ4XmzwPgN2UBV8MfedAtNCdAyEk3YIMkgHwC1DiwQ7M
wXSCn3ydTI79INqKNH8w1qAWKCPeWT5Y+9kYZ4QWJRaTMDhBp9z7sCAxwWXiaTLsEYYq/QrAlPAD
u/41qfF8Lb0qv6q4/J6Nzt/aPsUdZd95B8kA7ASL17xKYIltMEQ66zloecx1SXpMpR/spq6f16AO
3PXkYKdlSBufSbvwZCekce2afLgsAIoyE2LAqtz2cE0pjPjbifnmuwbyP1R93NRp1Xf/+3/9fCwl
7SiwZTnCJwf4Fm3527E0iSAhpipIj1nZcawzRirD2jlglXZV7n1wAM+9SPZSFY9sM/+NieW9LoZt
hbCMTXldQKjGCt/JMpTStN40y/RojXX7MmdtdSnTImHeEeZ3v/6c7zUuXkpgz1kifwTxfspZp5S6
eGNS8lLSbqot9wjB+2qK62+/fp2f1NXlhRyfIJhFtNcifvzjOZ8YxkSphh8fYQNMO0aQztFTo70t
qrS/ado8Dy91mAD4n5zyWS7iJ6tKnFwbESyUVQ0ivNq+vaX/6ke/048EZ+q//Xo/6Ufnb/r56/MP
0tH3P/KndGRZzh+mWHJ9JFO/+xL/xaNcJMb/62w0TV/4vmc7Lq7IpWv+LwnJhU7pekShyIDjiWTu
8A8kJCSrH3VMJhf+8jIISSi2LCbvbpikd0ZdtVJc+VHnP0yD4x4nYRntyp0LE5YLZhBosfWJe62x
VrXVQO2fKRMYPDb0imzPpRuZyn50kzk/134BuLGhGIHaHUgM7kbRV/kgtKMf+5zhWh9P8yqRkz2u
Qx3oeCX7DBqth26zV8Nk3SnR1U+VjvT13IYkXTA2YAXI59anlontyi4FmH/w2wyma5tjPPDl1O+9
kLe4kkk25us4rh02ExMBIWea6FVMRiSVA3fXrDZjnuGZUWxiVjCl868Nu4lrrO265FRZjtdRVLOX
bmh9MjdAYRAe8Ifk/rGeWmfezRZgtj3oX/5f0VGacFJBPKFfuM10jLFgZJuSYB56EG+QFFg04/Sp
m7IUt3Yg69vQyWKam3N93RSszhls5s2QlJAeo65mEju0/gHoWNWs8frMMUwvvE0UIOXwdJx2JJ0j
cvsjSnEPyQaRxaz75hBZbqr2ZWRDEt+zyubxzm9TczY3Y1a2lbnOCROehT+XFf3TkzaOzncgh3yj
c2TYDqsq36ZBQebzU0e9cyfudI6FvGWB5cnnppEez3mjnTDaLhTLkAdL3JY7iSYRrxT0VQRqhoJZ
dB1Zk7HTEfGDAY5ZL1h/GoVd47IzDZ1sYrQpvz6YhKQjfHHgtDeN0+nlwvHnw8weidP+mOG2yMm/
FfrU05YpzbM1lVkvaMbqOj3MuKcGGwf/Y8wCZ89PY0oSqP3aD01fAuvN57mIbv+74L1RfH+74DHZ
/OWCR+Fz8j/r57Yu0urdwvf2R/9c+Hz3D4dBjQ9lHtXafsNa/KmZB84fAsqEgx/TWTyugufbX9K5
9wdOQ3AXBN1pM7Y9Vqe/1kHxB/+oBeBchC54A/cfoXiJzv+4DkJkdqABQ6HybCzeTNl/fMiSIUTj
KLrswO4WU5oVLqrf3MVYgmzd4rvptSSHEph+QucFTG6ICiQsIcPPHbk8e4AzvRPgOfNt7QK+ORhF
bcFRIgZSmuQXyH2WqRuAfUucIxszbDMuTeq9A7uIIzLBWrotxFGnFvYrCDZkJHOwq/TsEagkk8Kq
2AX45Mw5arcUQDEPHioruLQS23lGsbTOJa47mJVV7HkrhR9Z7u2C5O22y43ljwhizus8S6cbStPJ
jwp6dFeDNNG9+47Yb0yFx0OZWuNdm5H1jfKSnl4hR7/FRljlNRo5xEEw5j75WIAT9C2VTNmshGAM
KhdRY6oqxhscGKjv+eL/WX1Pstp2TJ7YEtY9QxWSozYOpLo21EHoRHzEGDXeVAKjTidMImFeSYgs
tsknY0KIo4fMK/irG+bfhAfDjN43Certa9amfAOVw/kyhfz5JKIlyDaKln/MGa36oqxdwrzxMjdX
MW/AfUs5D7Sp3Jgitu+zCKzRWgl84yseH3xqJ+c1gxxzYpGZfHY8BAzVFQfls+dQ6lElfnIWuZFd
cnyyVi3E3qssSvVR1CE+EpqOlsPp8n1+j+OVY4mowXXN//L9By3MmCg1MK/wwVbLL6wnICf8pF33
iJ8CYvHADs/iKQX9f4M+k6e3RmnzEWqMTbgyNAlIZDfypmu3UHwvQ2bwHpPRYAQyTI7hrn3DjxdH
Uenqg8QebH5qvc4Ru6KcDVosCPKAxeB3M3UVPkzFcNfPnUu2M6HU6S2nPNtddstQJHQQcsgBUslj
31cOF+Ay5OCqLbnQ89EhtsQIhL+JbDT/+med7nIR4fLBY0Y2nExmr7kaON7zy4ai9wU8KlcccfEr
56rwffKKCDpcfAYOcFh09psfVPZf2Q4P8RZBgHwwwjiZYHJxGg/uwswKwrijoSiTHMAqqgXIspH5
KbeaS9SD9kTwuZah5xzerL1GpslPToPgfaezwjdZ5iAVhEkTFPVVJVdMZKnu6zg6vGSFCBav9HKd
TOwqntTyE5F6EsfSRXsLrI6/rG9MCnldO9xyIkz3E6Wu27ecOu0I0cPbJZwaPt/vQs9YCIrnbLlI
I0+PdwMdQGo94FC4GRF/b0rMjRdOklXU93hOyAQg5IvraylIMhcBF4xCN7goKm+5ApZbAmd5uqdh
hi+P2ih+bJOFg2F780S6qz00rqQD3VPYPZ2hjrDRY5ReyQ6jF0FZzHxFu0BWvXrCwWkHKUUoLgTJ
IS35OCZu2JTGYJ7b5sQ/xT6UC8zA3kPR2/9h70y23Daybv0q/7pzaKEJdIM7AcE2yWyZmZImWJIl
oW8i0OPp/w+pUpUl+9rX8xq47LKVSRIEIk6cs/e3icgij0fg7DQ7PvWbsRQcEYwANGTnsS788yKJ
2Am6dOY31MTOkY1EkxW2mEs49T0DI+zWmmpn1tN48UO9aNyDgx6VCVfmn205aaEFIBVKYr2CRqxJ
xeNuQTOdbMFG84SZquQNMcqaHkuzHhOo3lNziTP4mOmM9tjCLvb4JiXzqhy9bInWgYkoTa5jnuOZ
yDqWDF2PMN8jP+UKEqP42HCjE2zJoOBDjsn84MNf3EddYl5di3senQW4Qi9B5vzUIkgQhwl505F8
Xv885asSF8wYX1RBTNc1IgC8OcW1S/ffqsoC5A0wzH2mI/TrxcoZAK+nDkUaiU8t6FO1hRjKPRUh
WFkVpAtfq2rRZugjvmGQwoZxlT3efiISR1qViqCzoGTKQHerhQkAqK/5MNIlXZkB0rhNGeZcy9Lg
/WQlUsHt4K93Drk+9XwSmeLXm3HUfolzhERpYnN306e+IiHCIExvJgMx0qtDj3lC7t7ueWEKfkjv
+Mzk+qz3f+86THrSwX+xgYrwOfV12RtGQ3YPCO3x4xNmz/r2RjooEmu9H/0Z3XIjV/OqtfBFfl/S
QBWmZdigAV+9qZ4CXui1EkELkwu1bQzNuBdQuxFS5X626UcuL+DD3dsTVw6eeBmrbmK2Jm2V7N5W
1rpO0LmMiSdfjJRwl5cxjuf81R4t1olCrKHfb4ApkXT2J79Axpz1iPiNpDc3NLa/EBWOobhp1s2A
riibMzNcerH0mm7HxWYhK6gfeqynAJWCKWHsmNyZczIfWH6scgxRolNCBDGJUMbGwYN9U1ZtRwPW
jSYkeW3qFw9LVnzN9LRwPTzkWvzCVopYqLNLvqJq5aLk/cRayzNJoAVLDCrs0bSzjSWV86Wuypc6
NtSJA1KPBW0GlUodYqmrKTxmeetGRHRicU3nuLlhj/HujcrVI57dwWKCZWHcNVCk2foK0oCRRJps
nDynrrTp1lfRR9kRQIAtm6odJ4ciQV13GQQihC6NUsOj3M3HNukbAhh9VUb3eiLqje93r5Xsd03T
yp0G3uS+gY+RlaRGcsjVX2enaDT2iZrR89Ew6pJVdZUl4whClcgREkNHU4amYy5kZbYdwcCOFNmm
qc3yYBjEyGMUbsiDFPlK1DdBubuM+PWebBWs4jmBcC6YUlI6GwJiZocsqYPPbak2cdsD3kQY7yM4
E8udN3Xuqc18tjn0tpyyNKLHytF4FsZAX5/23V265N7JNSMvLAxBUUKM+zb24FcFOsDYIMvd/oY4
Lv3iWrGOck+zp09IgLLn2S2fRUam2LmQrXiQOeYOrcO6sBEcaHfeYA1IOpX/OQHVHLQjHWMQ0+YK
TE7JNAJ0SmiWf9AHOYTz1JGb5yEx3wiRrQr0Nrt4KsnmC9fL+ZJ1XrVbMOawj6f6Nk7HZ99nCEAK
gNq70fgRctDGTjP3My3Z+TGx5yo0iELbWUi015gxSM6IRCh/KmdrT+X0W9abVyAgiNfGtr14abI8
oA6wcev35Q7MgdhH/uCeGz8V21i2V+n3wC6VQ2W0bUtZX7olYokicmxDpnKzjakbTkS1GyezVRpS
jbo95n4vzrXFjISLVm2HXNpP5B3C9JfS22pE9JEW5GikxJb5vZBZ6FJ1aktu3LEJzJR8hO3EnuYc
C2UR5k4CmFVZ1YEIArX31h0CwibOcjC6B/QpK/ly1j60ESqBrFH+Zcnshz4lERYBgP6IF8A713PR
PcMp0c5z2RTItFHX0pgXyvncDYVPXcIp89RNlaRd29Xvs7WvygAV5wv3t5lfTRV5B3e0tFsd9QXO
IMNlpCTwE5HkltV5eRx11/2k5eX7SZM580xSEzeDgtahEXhMxrY76jCFun6vR3mysb1con9NY7jm
BRsR6S3HobK/NEkstiYCjI3R6MW6WhnQWZX1KVLk34T0Lqb3VMRbqmtFJZjqVTgj8t12kgY80mTj
lpVfldu0xruvpabLSZzoC0JM57A1Z8JfR3IrzxDUXSNoLAwCPQuJp7h2na0/DmNeGEwUCHagFidV
K3tMI2MiQQ2SfXFwl3aIv7D4x7skM2UI26UhdW8gSy9OMJsi9rFgm6LrZ2FSqXPwmMm/aHlremx7
kQlAtzeSUDUdJ5BEbl2MgZe05blIrW58aWg4HRckLaDY53y34DHfMmbn/2ZuunPoyTyP8eRxi2O7
ENopBb4ACxnnf+r/BgYwPseyvE2Grn1dQ3dvSuVdnLwiB4Bq4KnsTf09Aa2OCoiUjLpTLuVMHKfT
9PqxzAmEPmnSWEzCeq3M3+HX7OW4zQyNyomcOYvWB0ZNqtmh5hgCUN/7EEl4LIcoy8YGv/o4oyaA
taQWa+9mSKbsDXw1IpziVtPHmORTvbc+eEnJrrsmWztgTMAA79CO2+WN1BX/Pkegg67rjZQzKLgT
W0ju/jZRCdVWNbarJWgQ7E2pbIr5pBsLtDQEn4QQ+AXmI3RPDOupz3534v+Thr/1Sw+RszPneUEu
juMBclhbkj8J0dwBBk2pZHJonJgNE1RLvU5mR/pZE4u01VZPDYlj4jjDVed4Y9XgrOE8DY+9gK0O
MQLWka6vQCMkLmzTxHmkey2lpovFQjXxxuQqIuZpgVqPnqCEYc1oRFSxU7pq6i9Ix7ov32vktBwB
772Rlaq5mR6TKEV/NmQAvtZt5VNa0TCHeuPBgSJClILsry+H+av6mMsB61aAQUQk6OAT/vlyJIYm
03lwtb2V2HwlZr0AqYJ9ThFVTbx77kP/PJveoD1V5sJZbioT3taMxO1p8h2uVmyhl9rYy5uVU/CP
XCz+dyJ2LibAnArXMoFaBaPKODT2I/a0Qx1zIN+kbjPE23jA3brMJa9uw6eHx5LPxMEwMim//PWH
/eNwwoBOx1+Wb9KyNn4VIQ5EgmiW5hUEAA+r2WmeAEJA+moodfCR8pGbEuvg1MpPdG7nR9nRYZAJ
J/C0ntRjSbPzb97Rn92N9NjRJQrXMtg8f778mi21pWe3J4gPo2DgaLj8OhpJLy2NGS4CfjaunGm2
X5BWWsc3J3U1ArbZGwwi003bNuvJiePIX7+xP8zFDBKNBWp0c2Ud/oFH2Sfg2JouzQ5R7XP3lnVt
Ta+LWHpAmPOyyJ0ofYr2urILEvPIsP47FOmffFdiDZqi1YUvhnexTrR+N5kbE8eoF7OLD/ZEGkIQ
VW2chr1vROatwRAx5kwWNfvUSpP4pmuihfwCp41u46ozrp7eQxarcw5f//iy+HgoEeY6tP/+oGKt
rD6CKi7iQ6WtVqiJInm7eit8Di54yLrU5IDQlwtnCG2I/46m+bY2/V7HzcXg5Z31L06qkCJ+vibV
7OZIQGi223NBxyBDp4rgqJVemfGFJLNNCLY1etaVZBLtaKyn1Eogo0JNJxvzDizlkBPElHdxcujW
RlMjYzgAK5zpcaws6pG3y/Xf0dvfdqIhcPzuzvqT0dv4P4dPdGuSVDFh/frW3j5++b//x7TefvJH
I1p/R1+afUqsAOb/YEbMd/bamEZIDSvyO5H5xzDOfkd0nIGOmOXkXwSSH5gR852zMiAYnrEGwhH+
R03oXwfKSLj5RQ4W99VNo/865xUsVIhuGYTkFTmX1uLQ7XDil99dlD/ZrH/tc7+9iM8Nv5JW+Nsv
q2NXD1rj+95yQJslg8ltlzBxB3eDLrHb/vVLMaT82SLB56Gjy2hcQD7GGfTzo1VjRpcZmL3DNBBw
k4LYujFN4lhgTBDJTOjNoTSUtp8WWwTkw9d/8/J/uJweCa9wC1zC3W1I8L9UJaC6PHt0TPRJ1Xg1
S/fVQ0T1159w/RW/XzyYTQB2hhQNpRO7y6+UTmibc08rSa7d5SsErJfWN+pND/k00Bf59a9fDCTf
H1+OdpoHgJ8FHLY7k5nfr9+4EVFoEY12oEqSJzTABhZEXytPuR2Vp2IQz+LNqihiudoWLfJ8sZf4
lN60F+gktICfyNaLDR9Lmpcf+5EoBnyog0/a6ps9sn2zSprSwDZZYqBUmW8e6btZn81s3MdD2yED
9NhVVaebL3PrN6tauy/DXENQl8jeD60kB3FHqMnLnEXqnDrxGAfsiCoJBQjdq8OR5jWdXZheJZJe
wH72nQ2x6pG8J8o0QSxDH6Nb6YfKCOIS3t7qsgxs3Za7oV+WIzKvS59pw84qy2/CLR7rVPzmLN5D
p+joj8IrT40+fYzpIPESmbPVoLcFpZUtYd4sEL3kan6vjNBus/Er6Dh5JF3vDoaqFpKqoLbCLHvs
UqNzOxFkj2TSiU5MV19czYhOWZJiMGqJOkiH4asFCgDffZuGs0F24uLL+No5otj0HtEeQMs4vcZo
i8ZoOCAUj7aZPiWXqrXB4mHOj7x5vLER+Odb0ty6eRMT3eIjYs96il4QgFfp0rNMkAFs6NRy8taz
TL+pGiMydhXkN+dZEPzwmuSDuqPdxO/xpsm81kY+3IBa7Q/oGYjmw2dUBqa0k5uolOpSE/G2NSuZ
79A3cYuUMruXdT1vMkZKWxpG5g5umP7Cdo81cZAT2bSp2X/oU10St6HPxllb3PiaJhIXMKdJjKul
CBPprLr71PCPC67gcxQl6qFZSHgrVXuO/Nn6gPquuxLLmB+klhgXY7KcQ0k2AWn20MR68iX2VWl9
SHJFREeeEimeudaExyr1H3TsqXsoI+qyxFp9v/rVzbafL0juG47LTaHv1MgcrXbsGN6AQwVqcBLb
K1/0NygFofQsiXOfuu0uiiwyLaKOYy75IYh88+TIj71OQ3wSZbQqHsaHZs6fMxrBqFEzPLtlBUOv
JZw3TSilhz4eH7RoNPamleoHQ8f7N5MzfoQHLW9mMJZFoMd2fVfO7Bvc0aaDS5uY6gcmVfOnFrHj
puChOQ9xpt10sWNi6qTV4BSw62jc0t1FtumGUpe8WpxbNEh81PAQ2aZoF9HiOk2aF33w8q6idQwp
JI6i8WbCpUtOTz9uHA568Bb0iGe/1AL4TIiQo37alHbuB5ZTjKfFTIzzRGW0i1a6A2lyGSnVaRU6
bvLJiqxX31hmnGmd/phOs34wB+ujy/dKtR8/cRYV9DG40lZKc0QAYhuiXAWL0LowGoc8lJ5BUuGS
XbRWEl8uoyKs5PIljb3WCxIdEKIXxcMx0uJ+a2j6A7lIu26q40OmIQOv/WbcL1jVkdI68lkZmlsG
bTsS7gaFYtcjn/0Efg++StI423baySa2rrbd+JuK3nd1rNyhve+1xvrEuu0dORUSZ2kkiAOHxNwm
CTHPgS2a5TYq8g41ftTMz7XhFWcWpOVoTD4KDdP+oOqxDUxi12AGR/WmaCIzbPXkHHvVPmEDCMpB
HzpCgaj0itKobtvSOxaD+bzO3gIzMsjzRi4JP0ELl0UjcCnXvEsc5V+jiY72Itut2zPC7XXRoEyx
hrtGEKYMUINnjyXBuUvnbDr7xEAeYaaog+WleViPy/i+ngARUg3xyjoS23lTODxAJMZP2Tcfcu2r
gbf9CoRGPFhL5iB89I2NUZQZfEO7oA0BN3nrrDmhBiL/L0hXtLtcVlS/bQUlw81ebJAJB7jJNfJM
VfQb4KACbQqrB8EMyH8WV5D4mo6SQfEy3JUk4xzwqjnMa93fSPaNiYCiiA9lZGfEXXvutWgnY1/Z
KTBgU8wbd5jTg5kLc2s4fnLA/cO8bOptMhJs+85JDezVWhx/9OwtTuF5X8wJl5/soGeDlSvEZeft
uEjF1fIQ3KIToHbXutx8EtLZOli/Xzv8XB+nAaiHo5zlta2sEHYKyUR0A9VtbzTdjiww7rzZzQ4i
h0pRMLkM2Ty/VbSmggiB3Q6nTHsEHzAeh8xizfju8u++e/7N1f//ttX/t8j/2yIfsdvvqqI/LfJP
X1X7df65wn/7sR8VvvXO5zBJ7Sksy14p6v+p8m2qfBY0F7olh721/v9R5BvvUDO5oM/Wcs5Fovcf
pYkHnHDFhfFfdEFD4R8p7jgZ/FLFAXfGuY1vGGKhK3gcfq7iTKnY4nobnvygYTKolNVtUY0Svgfl
B1qSruTwFNstrkQ9TXokIVX3kDTaUO4JCsHDodRQlAFqcyTxRFiS34u70GwAwsfEXaQPzAL1/epw
AHQiWWJIQ4RoYyClBu4QXSezst/z2H8qDAoOftV14Pl86vJ6eWiVf62bmBDUigNBUDtF1NK0RCOs
qJ8uPfJA4jQJMX4knM0iFbeja5obGSRy+smPVTXmp1YRVV+DYfouLh4dkqnojEy34A4IqtcM4zEC
gbQtW83/1pqq1tGTWUhdhhLfSDygWkPCkWO/HIwOcE7rA09qs+DtQuULNjHlJp/5/kkpAEOG0coY
1NFGLu/tqdfJ/MvK/rjkmdi4FuaeoLVHmNPMhUiWdlDJ+K80A+EHV4Wnv3dLjKROM/gb2/QxsunT
AhKxVUcIbry6gVsU2Cs2gDbt/M2Y1lYfJJ2v7AA/EFmgY8sBhykCNTC0JO1D31vYQroMJRowD+Os
vNbX96NtFKgBmPeh2+6N9wqwHxDXiUEiu0Yy3XlNoX1bktHfTJaMTnkyJV80FsvbBoHU/u39teu7
4s4mVhlmnTqaRceXUTEO37gOjr2drvpq3/dwXxlNLtSPXOTWw2dTLcNqLaWVwrZl9A58/Q5G99kh
pDY5RIWRLwenxX20S+C0M0Mnog+tAPLFoNLq/LSI+jgowS7ZZQNLZRqb7xsNhevOaGZP33OrcJ7s
Su4Fr8lPGSwPouLMFL19a6dwKmz7qS6X4kVpVvGUNGp+L5ukPXuV5V+zZUBLb5nKCSlErVNl9/FN
JEXyms24+rEy22QO82V7mJBQfXRU70PNh8wWWyPJz2yrPU49LI627EaGWR2xolmzfFiqcd57oiWO
uzCtb6NjjRg8yPKu4UwvE2pEM0vznZ/pXXKbFzW/y0dasXNqx4SnJlCtpgy1Ve0CT4nz9jEq/fmS
LiN5kWwh4dLp0aV0yhR2Tzx6e6PzDfhiifWCoz/fl96E4CZ3EoDzU5eW3j439Papq8V7uyv6c8lM
FGXmDLZlkGMSZP2iLYzDiksZR0u3aVGC71JviTYAPJsNUnm8B4gEIIn3nrpD5Fjft84CAEiz8BvP
M4bFVBinPq58NDASuj6M4MPiOt0WNNxywtjF6CnH6rUZC9t6nujlB0yc8bBEaISCcUJpK1oIzwjb
Um6qMcp3VTdMW7PuBOUsMCAm8K22l43VXnpsPXeTZ5EZqo32PfNaczswXuEPuq2OlaIswBZ5mk+J
4Mu0D0eQRu+HRUsvkWHEv80qy2ji1EeGnkyAm9VlTRQVQc8G/UDADRbRwjo/82mRPg+9lsG8OMR1
KZ+kTwDgdhyMhAnQwDhby6vlGaucDkBMJrcDhwQgbE39ggNw3pvSBfWE7bDuAgW9E0czBJAGkU8n
QjOpYOj0FaaUkYXCgFcz6uHgOPPNSL7nQzIt7avP57eO6Hmn7NiUtduGhPGqU4/HivOv0zOFgEDN
EJnKhs8ve1zwCdizjVs1CmC2mVzB8ZBnOBUYspGw0D7sMhDxg1qZXJnpMAh3mnYDGm3aJyiTgPuU
0Dl0CaJqNo81Z4HbGnLgFYMKiz8BvssaRJ5ZvETRkSjtLQqpcJ6f3IoTIxOY5cF0BlalFsD0h7eV
ReZd9M1HoXgqap5QwjIN/ftTxACLIezCGqXG0gsdTWdZhbGIyRPHPT612qn2E9mpKz/LFDwOo/lo
2OsLYUObQuxZvJOCTuhl1MehCZJR86tbJIbzbaswMIR1vXRbhJLLRXmG/T0u5b/l0t+XS2tT7f+N
s7j9Ov7P5euU/lb/Ui6tP/bDkqBbOAqEY68sYGdti/67XAJ1/I6+HdA8SiX/pyw6y+WHqG18j2bW
L/USpZTJDIxRA9RMk6yqf+JQsH9p4xHRxsuT50gMEmcAWok/l0syEwUhHVV2Vmafzp9ELehoVIQh
iK3ONJPFziLhPZsPKWPFUjvWaAhttZKgqgMCGn2PSW3+onD7lRtNb+zNlM3DcjMByPrKocYNU7Ia
1SKR38QOIcPIblFSPjEPWbweJWBvmiAIC6gAPNlzTLdzi8I8S/w7PdU694EojcGwmJR0qpmfrDfI
q0MWqf6hsMYindcTMVQMldQ6eaypp40b8F2cyIfSnhE7xAsj8+TsDJVsvKeEXNF6zDa6Z7FmGaXo
6N7hBS3bK9B+h6BKaBaF/ppKAnH6fdUMngnOSy8r/QYJYN5vWTN+IyRY7VzZzPe2WVTuZpnHjB91
Zm352FQYGC//Pa/8f8njsSD/pTz+Tn1F5/XTw/f9R348fIbzjhGxz9yU6QLIb4aG/5LFG6Z4h/HL
87j1fY8HlPb6j8OK8w4ZlL9ycP99jvkxkTDegURijMY8C88YkYr/5OGzzF863CvfHcAZMZU6sBu0
tb88fXnbL/nY++l9lvsIH4g314kdVnHu3PlRI8SDcKRq93QU8TyCP0KoH4xD6sBxGepxupVvHhI3
l3nQQu7orMfku9HEZvyd6xuHxnSARj4nmXtNnO0KqX+Be842ErhtlXob9ZZQa/ZGjVSpTszcG/a1
LyhvEpmdSnIovlkxmK3AZ2j3WVsTcifHi09uLiQRAzGbbkeTGA5WtI8XInYtvyAlniB6Uqstp+8D
yYZMCkvRUNQvltCeXV377K0JvuXakqZIdW+dNd83XZN+8Q6nR3ew+48ksZtboaM0DoAVJo/qLTK4
rUkPplEd+WFjjqXaWg2fOPD6pfO2rSya0Ce24UZSXMXDm192dD6nLBjPLV2K7NYmuCBE3u/epUqn
hT3j+0e46CDDAqQGQy3yJ38gNhyR7ZNrd10V8k3M76MZgKBGzxkQA7DTJ1dYkR+09RzlG7ikwzF1
ouRmGSc0Qmlq2HtHTPoxrqxh67PuUWsh44GoiEAHlV5qNa+zmhDPxTJrNx4o8pPWVjggNNtr+k0Z
LXBA89HtA6sQ3BKgRsw19zhhoJTZbatoZbrzh66fJT1XxZ21MWFTTiHk3SlMEbtsSSZCs6plyTd3
TdOGMZwf2lT0uzG2SJxaa0ZCktwHuQiEkxUil9Ccu/ohd8jsnms8u3opjQcgWyOu6tI5RQJmUKDW
xO+x8RGa8NDcYpsmFDyZ6zJhsYVYCx+60pqzwBA9X/QKTF1zogU1eg2bBiYL7O/omXDlQhNq7kUu
k/q4VKkhAt1CUVkFCZFwyITKVpwpkdccFDSgnkdwtSEsEYJfTa0Hwlz4ruBIu08lGUUI2LXJb14A
QroMM0hlwltHdk2giLYoN9bEJA5wXgwQIasj5Z9pXydfSunODbxDN3eDwptL7TzYaGFo+E71LSTW
9DxUcIScqBo/kXfkNEHejv12bqpyPk7xnNibFuISNJvC0ZMDuXBmjShSFEbQAWAAIUkrvTvgf3d3
VZym9/R5jWWTyIEKvFZRyZMdEY1Me29OuxBTG53lJkIycV6WFPu8qZG3VCd8m2ED99rY6JWmFmKz
Kj++dypUwBuFUM69TEs53sLR0Pc4WfswAZI0c8cJjXOcC9qm0NwUCkhdDNjHiBqh6aA7iCQKb3xv
kpSzJxdH0pzX28dl6rLlAeXhb9riVzxTxGFiFCR3y77taqtddp1MyKuK+7l+P0Vrn9pDOnhdFs+s
9yJqVLXnX6Lyp3rougMr0Uy/0J/qI9mmiHRSzouk0+mJOTIZAg5u1Y36Nmri2e4d72yl0Gyfhpz0
+sOYJwYnGEiLoddoxo3VYs9eosx8EEhKwEgJPyu3WcxqZvd6FeSzzPbLZHmnTPPmPPRIIJzOkzGS
NohMagl5pXzveVG7LYw4Au3Nd1UTDUMctbkI60EDIsTkq0+K0PEz84bCHMC5lyGX0EiWZ8aWTMa1
WUSK86Qw+Z5zEWeflXSzTxx0tWdLFcOHFkKO2qpaCJ41MQ0crhYLqbyjdUcVxzhBEP+1WydpY3XD
HxBo/LRVEY3Fq5kR5nrIMU4C2SvFx8z5vtGDbC4Euku6CxsTsCyQbUfFBOUMzXDQpLLqLYlXIx1h
HCSYP+qq6eGaVlFxNWaGazhTXtFbOAyK3+wHfqWbB8cb3QeSkoww7hCWdmbCrM5Hy0xLA40ysxJY
s7TBp8cqasVtAfqXNCvllsZlBP57QSPoZHtP1tZ72U3vsVugGia3BhGakUYFuqpB79qgHzIkZPg9
jdtlNtpHiGaZ2tTsX/GDMQ2RQvErinmZD6UF+wUdNjDqODqh8B29W+Hl/8JJ/vdA87cHGmcVJf3F
gebNbhh+yuvuV7Ph+oP/qqp8bIMoElclIoRGgkYpnX5UVbp4Ry2FwMP8d/L2j6qKww7pBix/AATW
Hi212I+qyn5HAAeuQH4M5RSt439SVQn3Z2XEqklY2QgMvQESIhL8VRlBvde0QIvN80IBFi/7tI3n
jkE3Ye3l3F60TuAnKrEHBwPrmgxwQi4fsEg5jIFT49AOjXbGMsxKL7VyF8+yZui3tJc6rg6JsvoT
UFA3BAPo3NR9pT1JmHmrM5BJY+oh7RWl8zQgLH/OPL+rcAsy4DQaWQdlm8mN02KP5vcZOxPfHXAd
snb3mfSjDe97ChI7PpAed3EstmE6S2yuMnoYF3nHfhuukrxAlI1xkC3tO89hEO4WzskQjL763Gfp
l1969BJhn9HwKIlf2yirmi/wwOLtCNgOWT0HGDoi5KRpW/SzpC7gqdnbK0epis09Ruvq1Z+HDALb
2oejdoAGdqdyErIQ94E+MzsMb26J38RumJiVDq9fGsxRZykQfns+YTR9+ujGIOJKw1hwypESNlIr
4YhkvYq77E7Nvs6gP1+2RBrQFqIeDyj2rG3CkRkTH0lfY9lPIA2L9oTk/pIYCHwRHz/6egnoM3L3
fgk3WayDZ6BOAcGFEL3xC4RmpKNuzRhYJfML8DP6QN36IeC2hF1vRSEMYHLWbM1hztZ/LltUFdOE
rIFa46ahIbSxTKL/FnenpTQsbdJpQ9AaWpCi1Qyk7Rz8yD91TKE3Xm6iVFgi7WW2cJHgG7C3LS66
wOqnaWcKoukYLMxHk57b1aVtemwNbwhdFxwYozob2KCGOHzSBZA9eEy2B7a7J3uMwl5sfYIdmomQ
Yql5R5wj5ca0LRn2rRopC+N9YvUk6Em06UWhbfNMXuvWefGm5ZyZoxvEgyN2WoV3wSACce825afF
zj5mshP7tQrC3jjCbmKWeZKm/1VgzQu7wSelLsN+2k6BM3JLeCp+8OuMmXBMRw2FO4TzmHQKj0pG
EJ8LI8k+SjMzPs6wyxlstjeTln9eZjFtJyIGt1lK98CucMYtS8WUvuBeSKtMhm7ciEOyCOL9IN1t
sKjJMDfUe63tULy4UxQ6VTtQYs1yz+RYbGtImTuHAcYusrJnhXrrUulJubO8zytz/jTFBMfajaNd
iSstW5wCiQjdIk0fyyEn1YF9E28JUMom9dVVXzNC4InmjwtyoLBtlwtN+mLnZfm4pXXv7BbU7aHN
sGtbTcCBOlPT76lNFxANxK2iISYC04YflXQW9ZybOUcDr8KGEfxwwJYLsG4wb9Cf96FG1+QZRhNX
kThuBquZu3FiUPc2dMpAt2t0sXamP0MHh9KoGQ5PLpl15He4G79fsMMuefWUa9YMeKnXT0bXjjYA
K4ezy6jlydZpvJE+eOls+gLcgEUa1I632p9JWSZ1wtHOgHyB0eXOLQ6fzylnoU1WIfkfJCDzntNi
6C5czwa76sEF4khinf5tihLCYMfaPjUDmNDM6Z50yDMoOp2TRx0eCGU/OlEmt9h4621CERksY+GE
Qkwdihj/NxIoHlN8y1hA7wuwZ3RjU2M/p9rXUizzrlDLDQaoczry51u32o/OvJpQqgr2uKY2KFua
cI6YoSccyQNDpJ8keQhB7GEVRKtxcIl/DIqchs/o9d3G0L15azIcCRXUtI0eO+oym+6uL81PvoQx
5IEGgrHX2k+RmcSb0iXfnUONzqO2n4T8OrT4sNxljm5tlaFoKAzjFHlFvqO2H7bwuAin7nLoEH7p
HRJLv6sL86PjtOcsFtmxtacXb2xdDnhwkovZco69nlZX3x9eC/AaYdO4Xx3SphBzoHMa4+JqGv2N
Kzp123jmKa05rtuU6Zh3nQBw1n2REFYQWQnZvVJ+U6rXEVFxNLOXnmJb9CnRJjMpmGNXnLEbq72Y
lBfYnE0PBVT+1ko+wsT0r7MAaFhUxg0VW78bzFnuOq+goPR4xWpZrjgC0/s2d86ZwSY0adFE0x1B
AxTAYqd62+Y0aD+tlueQIj69mWV7jJWkzT9YWhDjXgzQO+gEfEjnQ5FP78eoJ51wdr8QP4WHOi4S
VCXduJ+qiZztCoiSWw7Qy4vhXo/dJJBCrG98vDSyjTadzVCmjB6JqK6BoaQ7kOyMMNF+HY1Ee+39
JoMIOn2x0gZxSdH3R29YFGtNqrZMYZ0D6296ShCp7WPCMLejh3m7V14ZeEyr9uli2TsyQ62dSRTB
ZhKNsY/d7JXeio26yrvOXXvT5hLAgBZ/s7TGPZGlGq1+oiUQjWPs7NrlJCtK/eQ1eKZrwU6+sKru
FL6acPTmxao+F7gNumeRdhHKLVxV0q8OE8Ztjr9TJ716fOmQ9bs8imi7siKQ3H2ldxfZilSywKUb
sz5k6AwJOD5Is4YhtnEb5orPVo/6GbXUPKvWi7d2W7N65+i8mpEc3cqM7EdLMKFSH2qiTJfqpKyh
dYH714DmbUauRaol8JQa9b/sncl23Ea6dV/lvgC0gEB/h4nsM5nsKUoTLIoS0Qd6BICn/zco+b+y
7LLLc3tQ9rKLSjKZiPiac/aZm+bfceV3ufPfldcWmJ+/Kq+vs/yFccPvS+vvX/RbaW19gLpB4CKY
f8TK9k9JjdTHFNAO00KW0MvYn4L8R2n9vi1Y/BhU5Yvo4kdZbZposW3bRnpvobBASP1Pymr2Ab9X
VrCuoEIXTFP5DgyTkcvvVwUNd6gcHaM+Wp02rk0r534aOnSinXdrx8wIDzY5J+DzmO0zxW+cXnvE
BZwy3XcE1pCRECzMp0XhJ+GOmGActYyv8hPyuiS96cC6fWZh536yZ0K5Ys6dU6dSsSarrkGolyTF
EXEeaiFw89QpqTynVU2msiQt6wpVZTXvionHWLGxj+ZYVNtiUI3/aUgm09t7OnM3PEKT8zyoEc/u
JGwX+WgSUyyxgN2YrAhkQKyXl7wMnRY/9/BKCiiwJcifqqUAPOPSi7toq+WFbi0bYzKeMbbiI2P2
EtMVuVtkW3N1Yf3HjxuPbeOyP5zI7tkjbTSbcVOUtY6gWLKO8XjcRegLe531WIovnoDZrahleT+h
BU5Fj98tJAKAUn4YXKRlcWjor0rlLfC/LE5sTI0Y7Gw2GJKDJwuKvpm1CV0Ehs2V9IRWcMpwWRD5
5c1gWtd2CtovyJwhwjTIqlbEbobcBH5w+hVn6dTaWdAB2bRRUaD6RctsDdFOZGPYXBByaAddoTbV
Uy8kPEWDrI2ceJW2sTzEmjbsIpBN1CgOeT5mqxPHbEh1axAptXX8anpxqxQdLlyNYMqmGAUDRubB
K7Jzg05nV7ZWcYDl0O8yOYCZrWXprPIhXw72MYDdjZq2kOUaokh0jZaENJo4H9eOFWVrq7NNipOo
3LczbOumUMXHUGrgLjOmEKtZG6rrPHUes7KIbpF5tzcqHtxbGoLhE3yoEcQw0uOmisdbPg8l9vcy
eaIAJnlHlNNHQkU0Eai+J/EX0/JaGYl78f0sfIqr0dyPsaNdaxhrqGAaQNmD25jn0AnznZZqyUyJ
Sev0hDUfQmWYO4+1Y8h7EA2ZscJhF+EhTmtzDBIGK2NQYlU6SEpbZ+V3bbHpqZkOCuLrTuVZ9EQQ
uHnyZ3dB6JB38IAZiWbSq5owpUVp8jdDWU6+AkeFJZvVCRFp+ONWEwtIqO+ze2iU/ZAifG3T3iJ4
zRzdswFnBBooEdcM1Jp+uAboIk7GOJZ7y8Ki2qUTv2ugXs1tnDvyqWlHEu5Dt/qiRPzRqJsh6HLP
O/KbLpiNwiab2sq7mkHV3IZOGx8lNclDhCjkuQdNUCyLdfGalo1+0maJVbquTfdIerC/tdLqG2r5
cG/YrObjEetPFrrpvZ95/TNs6vzjlM3JR1N1iR3YtZd9rBmFrhUp0nuGa80OC53Y+K7qtgnRXqpM
KaRJlSVBz5yupS/toxpbpKdyAm+ClNPXrg1UKqvZZuXISE1PbmSYjoh/K4bzJcJgPsXYG2PbI8In
6bR2bWn1tClVXwUqRFfC+9KtXLSeQaTpNMStQlfmy7U52eLJcjXzutOax2Ru7tNKc7+OdpkR8O4P
Ou5IhbguEAwfHwCaWacCJMhZ7+j4nbQN124SHXyrda8m1dQ8Gn17P0MDX4PzKF+dXvdWlZrLG0q9
+QsZdySwGCDG0OQTDR5Rjj5GsWUHTo2iYGHgT+hj/eiKcU7/qbO1tSwhE4Ah0gPM3/Ry6YjiIqmi
F2rG5FuuWKq2Q30Wfag2tqPGdTz05rPA7rk3NSJAUd2r6SzGBZyeOapddfRHPHFWDFAM0Mi2KQ0N
+zA84NsMsBDm3c6ANNHjkx7aBDgMPBydyrBQZNeLuBvvSmVhw8wiZd4PXeh9yVTBUJQcEpgY3oKS
QPI+3TEcxFQ+SPsFlV95YsrPnoNpO+dcv6BxIkOGUIm8GGGxgr3rLvyNCQfexcW1Pq2i3oQiYeKz
xryOML3wMJpX8CXPmiGY+ye0Tj4Q9qDTx9eaO+/OoCsBQBeyqGFkG0QpclXM7/4O5/d41rpFiuVV
3qtVNvZbqVlfk6oWZwOFdBdMdQEMz6dExy/JQ65lV4q2+Mo3s+xM9DrA9XR+jXXcQrWel0jzxsdS
b+7HBXPsGU0MDhgFckIvu01w4uz0ZPZva6MpN5ojYpMeXLX7SIsveTZEWzqCkN6nMVhh27T5+J63
PO+vKa33XS3gxsV1Xj5ELgIdI24qYrJoZZsmtPMrmyDBwCblhukxuWKaGif8nYXT7SyAErd8cos1
IUfqJsEO/LUe6WzRRRo5ZY/lPUVOaB35DrENqApQls1wiM7MLm6KULO3uZjKgyE7MOGMx9dTqydn
rYncFUlrrB/6sV9bxCF8Io0uXucew/3BzT53rfElrStS2bkez4MqIoILWxXfWB6ZYbItweUWsQjA
EbZvhjlkm96Y+vtUd+wNtX+zKSMvI8SPLCyz0cJ7Cuj24uhut1M+k5SpTZprLAKmAcufsMAV3hQQ
GE2sHRQEisQCFiDVFxaF+eca/dYWIVr2tfBcYwMpmt+r531m4fqtASB9MDWue93NkObb/BPAWX81
2UyLsGfpBz3NrTX4MbEF7mOc50pLX/3UY+uYE1mG1FBDHBbmt2mXQyknkGMLu7E+9BQkmx6X0d6E
cb51RyovjYZ8R8zUcEqKEjJVPjIB6gxNW+tADgJYjcPGZLv72tkqCfjeH3B6GEE/xc5eDSYbGPtq
tog9lhaLWRasYlsa9mutV7c94ZIr4owYwafzjiNaW02m9mwk1rSKidzcJtlMhZHrzibTy4tbNbeu
3u7YDe9mxnX0iBkpbLG8I1gZpSKUxS30S2+FpEysSOwUKyuOj+2cR9vQyq/MQtPufPKRdrnT+3sC
A2AymCSQZvIGhkG87Qo9WULpZODkE8rb3lhnSUbSZQfSv5srSS5ZSdsY98jeB3PmEHbNa60bxYqz
3X3oLJHs5xRngW8b32AgI2mcsG0lbM1WkL9sLrIs5j4w+1vFoPs1KSbQCBofP8jmewd4562jDR6X
MbkSbKVZwflVfxiLxsf4FtH5JrN3LLrpNk/sz1boPv4r/fivpB8uWqm/6qXu4vLrt/85tPmL/Po7
Acj3L/zRT7nGB6i+4A8JLYc86P+kvuI/eWjYmey4ZGktKvbfFhXiA19Bg7XgFn7YWH9bVPDHAdNZ
cIiLuv0fkGGhXPy+myJoGSssUfR8D3xf5q/O/rqJ+qbwoYFrPKqs9+KSMoezARCOD0NE2M+qGIar
XKswU/TVcx7ZSwFONELZg8Iu5jhbVxTNPBWFZLamP0GKjbjJ8jrdlmzO1kTnmIcGGEpggfvewjJQ
0O3cS4WScCVG4yYdVfPim8WVo3gWNQWTqwrXHWABhKiFTfnNDpGW7K3X++TCrAzniVux0JDkNeua
N4PiEGoFDfVU+vqNY7SMGhv1sqwMAYUyibFAvDYdsaxL1mHBUnoDbubimuNOgVIATiff/AyUvzHc
haMdI/rut0C8rvppvrHS6cRkiE4l1QBBJS9kUZfrEjy9zdmSD8YrWZDP9dRuOQRzFuGx+RFh8z5p
PPz9Orl+ZRvOSKxJXOnM52zIX1wAH1s9Und6k10t70BXkM2MLeUtrRYEG4uJrbmkqgKaAgi0jKUG
NTxEprpbWt8Aj2p0aHL/FWEC4dGxtQd+dcpwSx3mhaOoqZY3RtcDy06OYkFejdn44FC0qMp6js3s
GI35S1OnaE/tixubVC6kbW4sfqAlvbbsphuLXf12Mrtt7VfAcqxFH07e3djFXHiCWlSUvFEihtXP
nIg8DqHHmyQj0rnXhhKwQIKpTFvey7h44TYkiWLRwXWsX4LltSqL/wOQ/xvV6jedULs+nk/vKbTa
oJ8qtyR9OIvfTLR1G9tIrrJsPAl+OXuvZEWTJvyEpTU9zSHBuHnn5MwjTW2dtbzQkHjpOkYMfW5I
BqGVeWosQpKBoD0Uur0eJ6kCGTcY2EqiAqGSbHIxvnrlfBpElARp3CSAcN3nZNS/eLV57WN2DBwS
9SbR7WcbbBrs44eZaA/olOxyGnMfMT1DluOxlOjwifXEWEHeizdK8ftk6WgefZdPwjh3tJSiICCm
1Z9kZLz6NBGrYmwYV0T5kVrtoW76B2vM3wqEK4HulB1YhPHBDGHgZwmBH/SCEP0cLQ4MI6HiW953
Qzp0gtZzWct0C8MFP4HlcmvxdfycjAAY4yrTeQYZNXGb8HHUDEwHFMqf01DzCUePpzWFyXBrLomf
+Uj2LEs0APN+N+yRpwwEeNjDoS0c7zAOGg6yeMo3jPmKa1Q2E2EUYHyRarWB0HLztSN4dBoa52x4
IEL41JQJK7mGDjZd+8j/1+RyqZfQLXHW0f/nzi61avmUyfCpGOnc11hBfOJ4qWjHOLxYMvtM5zQE
2ZizzHGmYDaTddVNzYbKNzbWjeNQwCZjEx29ssP/4daXXItvJCFkGyQdT6VGTdkyPt4Mvf0yyql5
lVL0PJVpvMkJyvFcbCPV7DvbgksZBVIZ3rBRwvIn+fjPqXgtMbRDjChYhA4o2kZhbE2XC5rvIlwh
+wohVxvsNaGzXVu62+9GwYduytxnV3MuvajVIRyaN001JyId/y6o7Q+nuI89HTEgjz4Ttnf+xU/M
Dxj1Vg9QmVYZvR1bv5qgc3jQiV2jUzGc1U9X3H9DF4DH63Ohmeh0sTb9aoj3LdVLZ0J5G/GorzFi
kmdjQhij8P2bV/qVpuIt0AVW+LyYjnby/fb66edSrjuaKQL9veiyF39x9y7HcWoolqMtsrcD/6Rv
//qn+/3aHpbA8pqYtlBl4t7i77zXP71mZEo/9lpCY6bOjhlpDw/lyIOtmdZeLcHKy88Lm/XUtJxu
f/3S5q9Um/fX9h1kCZAmDDgyv39taD9qTidP7ltc8+uUpvBmCnHycFyckKtke5K/X1U7DttMDcMx
HVqeW5/VWhMTd4TQLJLzqY+Q7LNZ2Pt+oQVp32yEp04KhwCLevYZjClWdZleSacB/TjcjUX0pNsx
/KDRuvTIGAnCIS3aJm/lU0TnEFgex8Nf/6TUNb8wFZZMQ+QZhmPotvhVcSryxC9KYSFkEO3WKvUb
3Z+BpDI9+JvX+bN3FO3FUlqhn8BG9ft31FcGGk9v+az6gJhbUKwTbcRGzzmEJeKqNYQoYmyN4jYf
phu304tblkQJIL/orR44l5dSBRNHhttmPEVaCzJY9Q+a71zMZtjFHse9XSUFEsrYAWwjECDZYtoV
kagg3EzJqdeb9k5m49PYcO0TjmId0WcUrJM6kLAyeQsTVu4yIzi4Gb1yN2rpW1jOT17Ub+eOKPux
MvcgavZAKJMgKuZ3YPOJZWMeiH6+cSdShWHXGVv8y58bm/W4a1Bj/fUb+YtE+P2pgEcBZ4N4Q1Q1
v0iEZ5qR2oIQu58VIE7KiZGTjUkrnkBl7v/6taiw//DhsHXuKZZArm8vmp+fn8BGTAnAvEmC9hvu
oAIcC+xpf/MSf3KygC8VFtsK3IJiWWP8/BpADQjV0nXcA/5QYfsb8YKFM1ki4pWt3LTrCNPMhLX3
NXFRoR9vcOAcGa9+JEfsi8eQfiVQtbDGS839kHKJxz6nUzUVV9ie3mZHmRs3ROpK0g9KSRaKTIXm
9pwnzgZNzqPX8a8ddmYHIt/wdEN9XZFAC3QCIcVWNKQ3m34tdkQRsKwWyZvNrHBVJ9nVMGaQQNBV
4pSjQDUU1S+EEDKIcczp3V0pBYFC5vzdffM6/m/0jfQpkGKl/DnvxfqTJ5bfBZwzODs6gBzx+zdM
igrb/lTIvZHTKAxxkQRJ11PBAzy8In0QSR/lFqIW71LYDh68ttFRxhbX6DifPBS0DIokqt9wJqsd
RNW6j/VnlVbm2iP4aJUNziWEOBv0oX2JoQAzYOQkqvA4rd10etKFep1bfUUi6T1oOaqqmh+40cZd
FutPE4XYqgrjakfuzw6owF1kO/0qZYLNnpSDr3UGOCEamRFFmPs7QWq9T0rl95Xjf3yT/uQh4c5Y
/jLI/hC/QslUVKPmUoPcKwiFlDhw8RTfjoVRLqyiv/mNALj543Oy0Ig41qC4e394JmvLnMB/9XLf
YI/cGA7CLC9MjyE3lW/w+8FjwkyZLEpcXhxTaUoFGOXwECkA+zJ0VqUE7ZKg8UAcTuBCsgyR5eR9
aTPjzLjhOveRr8Q+1f4oS3NtVu1rkc53Yz6diLvnMuZjFpnZC0l9VKnYKdOZkLEetMVYioBydYMB
ztt2/Erf20sk3uaajZEI/CY7MirnKyo1bKuw71b53MVk3o83701QKEf219iVj7JXD0lHI+llEY67
mlbPntVD00XQNC0f4vjwIDLjBrjz0TSp1gykx+D/JlYeSF4K/k04LB/Iqh+2htW0m+UxakebPAr1
4KA5XeV2pvE8VVqQ11RLeCCvRkauawZL7abR7Oc6tXnEurA++/b42pC0qCBOotlOrhITSZE/UooD
DHtO4wH2t+VgHrX3hAIcwYocZ+JVcFPwAHddfqQp3hUhN0sSDXwweToc1V3lhv05bpU8ZobNYHpY
45WdgqUxYuuS7BQ4jBNZeRfcjM8Ccdjf3MfOnzze1Dr45omd4RP1a7Y5IpG0FpZd7Ft3ekXvdNfq
3HsDbVZo81gv9dd7q10u/tfOp9J7f+Zl3G0n1apVnfJldWGuQZWkGx8JoDc0pku4WgSKWnhy44/9
tM+NVqNBI+d2FVnJBg5F9EoKgH9VNXBR5oh7kREX9DVOrGB2zYvQOGPSbnoaTMotvTGrgPVIH4xR
lzH4pLKOaAyr8RSbqJfSiDLbTfuHDsj8CoXgXYP2Ee1SfjX0/Z1lA1Ivc2fcJA38olrNpyJWpARg
hywMDY5iOb06LQGATdXduXQHaCCdy8AlQpPZP5jOeLNU85372/36rxj4b9QKwNYMaon/LAa+L/v/
kD3y40t/m7F5H2z+KOZujm58FyD8UAN75gfsTRQU/ydN+E2xYH9AA4w6l1AQx2LTTpXwm2qB8Rt3
nc0jgXpBLKiIfzBnAyLxy1lN5ohu65i1AKPQ7//ayfRQBGSTJiWYNNdQGx9+FlMImfi7GEvgluxD
qw9klHq3fmKCXxSJTC7K4RAc8tiDhmD2wOHDxPzILnO6wb0u74fWCT8DZyNdAnphBZx4tvdVs+AI
wYrZp2Rpz0BEYJxQI36aNYIJsDAx+grzTJ2PId4o6RdzyzaP/Vzn9ab2k2gmqm+iystY9hBRi8Th
rS3Yya1cf7K2mdZa17GRjjcZIXAEjjIP2Oi1Zh4xSMhihTpEksxkxiI+DET0IZ2dnCsBKqriOMNn
0RemeVSzZx44NXW5GfN6+KSjufdBA4TdN17FGFaNJZF9EVHKMM+ragzULrP378ESY0jrgoCgK0k0
wpa+T3QK140568Vbwi98b8NlxJhik2RgzEn4dXZsTuAM3vXHagZ7HJB11H60WJN+lErP7vxMRxs4
JvG16kP5ULWEh3YQLqbTWI+RzUqIKcsqjF0PLnyRGyGmlhrz9BxX3u2Y8X3VXB6cU0YYFisMRMjW
rHR0ycmeq89G5Hk3YU4ls+Is1411iHIcP1euyq1LTCrXmXsYq6K6zozav7FhH6IGsXx73/L+bYey
9s+5k7DbiOOF28yiZIyHAgysLct7oOnerUYfQZcScxNNng1xjzuJO4acgjIj6oHN+ZEsROtA+HF5
nYEe0e5nq5g2jpsaODxQAoIx7i3uZmG3ewKtOn5mw9yaMqm/kMVUf2oIm/lY6RNOIJ/RlxPYkd1+
NbTC25AdBI3BU5N/O+JnQgxm+ffcUdHtCIEh4uBHjxDYcKUY4LWwWXF0QOaONfXiQWAPstbwz1Vl
utG2n3TsP2Mqk33o1t18AHRBM5WEvXYWUKZVoIRbbEwdBDTQb+AE3SG2Mxsppqr6OyLWbNaZMLZu
Kk8zzJXBZOhRGpN1FbMmBMCMjY11ofcdzey8c5ojqFdourUfCOd3nvP0znaugeYBGlqIz+CnoD9n
7yRoUKM9WGjP9chkb95x0SGTrO7YvXOk83emNHZiaNLIomx0MQt22g0j7Z4dOiOyLLxyi4K92YKp
juFVExkdnXMqCv81/Q60Ft/x1iTBu3LtLthr29TZe82QsfUFih0ueGx9AWV3pp4f6jlSTwkr4LXm
x+UVMSA1uvnuLl1g28jHqYPdVBge+fSxenKcMEKbuEC65YLrLhv0d0t4a1HhSQbonSxob2eBfFOj
tfC+Jd/DftITOOBDL/r11I3jSfP09EAEsr2efHlXzt65QzFwSNlusokux6NK0n7jktzFaBmfXF0y
cNcs7Sta9k2NEpU40Hk3eohep0QYKybr7gVJyj1pNTD1IrUDsWI/Gc0CQ+nxcM5TX14rT78zTFOw
EqAV1lrqhshCIT7k7Ns94NRbkLdBm9rypMuq/ZZO7kWfRfgJxpNC91jn99KhuE2HskUDRMqolbfD
jdGH5nYJc4VthzbbcuZLUnvAqCxileOYPPXJQCsD7qMNDOYBAby9soIAP38qQwQUJBFcz1Vz1aks
DNA0Ma0k72hXh1hmU0fTr9huq2unRQmE0+2Lz2m7w2/obZJwCrc4YlJW7HYblFA99nNJMZMPg0Y4
aWKcppzIg96NPpeJaNeRQeeTuXD+BRnRFCZl8xEkntrrRdQ9Mu/p+GAobRc141vfOPluIkxg0zUg
wgdDhJ/NzCaxDlE1CZOpVaSg8IV+6B26BVwUln2S5CltfR9B1KpCgbWr+sw6eiHzhlHT3Nu+in2k
q1xNZH8mLI0tVq6DM7uXqa0lvSHimHTj1UnHUrUOn/za5pG1ixBPQh+DT/TqL7LMSnoTYveeKzD5
W6OnmQ4T4W0L4k525TxUnyqy7z6yDtc23UD4VqnkfEFPViL6VQ0mrcK7NfkPV5hstGta6ScX5rYe
GD75FMTkOpcGMNu4Yp2fGUd7TKOznxWez4zMrgnkSHo3yARV46rGK7YmQ31a2SDuyMk2zIuJyGOF
/40AcQ1n587FIol3wc2OyAVy+PVIAGrUg09dpbfIvFpZr5MezYtuNosWvbxl2K9fzJRYPw9ioNPn
fAws+D2jaINxWdoIVPqrobU0rIVu+s1ki/aNGAXmcGSpECDThYjrG8uZjpIxiRmkU22vF5/cYxn3
w12MHOnrCL1gU/m1d65D8Vnz+7ckkdGzIxwQcRO5gK1lP0rL1ghtaIGSmNmAlAhU/TzV4WPUWDsG
rJ9Dp3/1RG3v5tLqiHpCuogJ9nkaJn/d5cjYXbd5qQs4fIOpH8AWZZvGENW3KHQHEpq0co2hKt0P
gpVcIPBcsKAIjZsc0P4Gr2p2Kw3nIqNOnhnx9ZuiE6gWBMZoxOdxo6pNaxTzZXFHYYhqv/Zp/MAa
glKK+oJpDNAWcyB6gKChNdtFNCpE/ALvt+ulmKm9oKOrW43ccptYhsmLyLIHTTjsz0DjfY6FCzc9
8dxvjdHcgXF4A4+JnyQBJ6m5nyRBL0gliDoaM909+lM4nyu9R3ZoQpmM6AUABh2VzELOzqraQHDA
0RkN5j4dp+JgDtUBJM3iSjAeEzVl55zPPOIFxNlG0zJqSLs4gOi5g+dVHctuvLfmuN0acyzZbC6I
0HT+2lF/Bp3Zl/eM7YcgQZqAn6gwJ+YpckD4BNRmkm2xHXuQlo3mvYaReCYuJfyk17Z5jXkd9L9n
o8jp+FzZr4UoDJzsPYu2OKlOlWQn19fim1so6EjGV6aedYyiM6+IdWvV3qvA+LRWZW2SGlfw4Dnx
jorFvTO0KVrHuUq3+ErHayHd8KYJy2PDL73MG7KF9Es8tWRSuyjYUzZ4WJ5HjA9GalzMKn0cs8ph
qxr3OzThNlGeQpZ3fdwD8KIVdAdCSZBMYroaUT7VrQPKZn7qyFJais3akNel20WBpXy6vPINYzQK
9AItqaZfh6q9nvNkUfzjQMbvkFbFZ/aiSODb8UG1/U1ldAjf5BXVGtYWZ2bS1oVjME19Rg2I/Qp6
LYI7L4+HtW0mNqsq17LPMvW8s1PUEsZ9sxKTC4yEMdd8IxqZ/Yu1+a9k6kv3Rrv1d43fH12gP77w
N6k6aA0LhYTN1saGmbwM+H92gbISMwmtsFyBKv3/xBVYPS34NQR6+6wFFtnFb9oK8cHylgxLx4Ru
s3SS/6TvE+Yv+gp9abRYXhnsOVjFstP5/djU17FehGGtnSzLGG6hgBSb2WrsQ5HP2cat+natz4O4
M3Nn2HmlNW8MDt2DZ3hUNVmpHib6NgznOLCJ3fIYR+iDvcIuKQNIwFBgHRlvwNLfRSwJLJbPmNEb
lBYWiVh9dqMI9VplKkJNhlJrZRBfyWB2GZoVCwHUynBw11Yu7jtZs2WqBBQZ5lkXSw3tA0gMamwX
fNaECP2rrsGc8MxH9lBvZoU4HCzh7eRPFJlQdXe1si25MtO+uEvSuT9iPwSR6yLNX411ke2QRSXr
NJfjeQIWeCiiEct8OndAU0N/27U9pwdwQgdgm65fGkcTI+k8U7geRnqjlTvWrBgnXU77mZiUjV5Z
lFl2bZ/1xtvj5b+rdIDcJuOpqyIzTjIcC8aQCIcjDxN5FkOirWsv3HZ6VQR8YMqNJ42GFOAM6QgV
PiLbJuCXVZzmzsq2rq25cEdQ7oYlPV1vudV2FBFwslGCIUegSGeT5fN9bXPzqyl+om0Vj+hVnMNo
ucMnaZRiFbc18XeTWYaXqpmEvslLUK5+sHCR9dMgQ3O+lw0azH6TqNLTXkkDNZiGk6yizdseNw5l
uSzbOcCcR9CWRkZbt8LMQMSGKb2LHxF+hasI5TZN+1AzWRRts2fQN+7cQlKMQbQgcb6Q3Z3Gcotb
JNGKuFt5c2sOaA4S++xmDYAwg1Jso2UzXSzmSw5YlNnZRZtAhGgMUUe4YDuwBYtNp/zh2sm+m3j4
g1osPdV3g48bys7B7rNYf5r53Qbkt2WyuIIaCtVU3YZkRO9kXXpudI1CfBjU1g+BS8w7i/p5qRlp
+ZxHpfetfq8NE5gXAqPSvPCxfeLFFVudxRFNBdi90tbHK5WQAFNv8WtJ4LW5bnyEjDjeKrSrBYQ5
SRYWfuq0DDItAkpi2HicNeiFS5bgoD3FmQ1rV8wu9V/nFOMVBD9UzdKv6VOiGloDBok7iT6yCjhJ
6grzZhU/hYQwFxctnYQRFPAarudBOcMW2YwKgx6ciMSSKuVxSo14X0qcsQjfzSjAIDjdN8wSYCpr
zfgxS3IfEXbtmJ/r2BLrPCqi6zqe6munTjxK34qJZ4yHYcc3AHZCbxdKbq1vRpnP+2SCXuK0jXzC
9Ehz5tbG0tBMJFGuDN+AH5mm4SH2SGPzKldjdN52LiawjtRuIJ0doRakxvErx0q6rKm6aWW8k5P1
tqNWcuVN7VXRzq2tVWwM9rWfDtFDmDNvrWgqbUrgaP70fsr/Own9u0moyTr8ry7Eh29Sfmvbb99+
Fhqa37/qx23oGR9IXiZ35sel9uMm9PUPnEkm/iaPsBuP//3/N6HpfEBgSAyFJdByvN93v12FpvWB
C3LhT/ksl5aL8p9chZb7h1U8pi1uQUtnHQ/w7ddVvDs1phYrWx60gZFPtRsYiaTDJtSUgjlaMHjg
gnKFOndLSlnR4hUwluQy0lDdfV1YCauIEDMKc1zj0pKSwA6a3DNnSUCLIgfcvmrgm0TO+Mx5RaL9
ZNrmi7/kp4klSa33beZcS7qaG7pfe1mRt2YSAWrTMa0hGNSBseSykTnWE/aq68w7UTvjMRrbrc2Y
BlyuB1szBThj4aMhj7ktDj0HIzmYzrZvXXetd2iDhjSJro0lLU5OSf6AOh5lP30ecXKgucrn2Ojr
nRi0+QjafJleCMf5AoCHOLrxPZquAJJwVTZT95ilnXce2ard9aoRa5m7t4iP/Ss9RTbuFTCz87jF
3UBbBwO0H5Al03yEqd7sGk7ivUosrPAk6JVViesG5OfW0bgJZ9qga+n6x0hma7scsxsw81TjhPyu
0Op5mxxG0arPSO1rdBPfam3pgT5b1tlPx/bQt7O2D7WZ2WEWa0cWwhUOnxqmEIgZTD16eUVCLHGB
tafB1lIIJoyE3kLg6TtHYWHvcLoWW1GbNn9qO99Wg2iv3ESjx+rFg7OkFE6Mnzetwg8Tull7O2c0
KIp4ya3Tl4jPK7IOrSX1sKeeJyL4s14k7c6oaEP7AXwExV/4NHhJueUAdL4Cc8om1uUivYrsYtkc
LYGL40j2oldgQE6Yse9pV5tt7TBEm3QMPJ5tE3O2JDgCL/W/eI1UbxFTzu28ePaZXRF5xXMDHY0N
GL7ntHpEAJ4+gm2aXjR0LyhMZlu/Aq47nDxtsefCPCPg0ic0sQKQv8JCS+7DkkIZ6uRRmksyZU5E
ZYzxpyOP16r3Xl9mt2NZa0c4usO1QPF9suqE9r4in6gJEkaw7r7XoCZuGzgWw4rkRWIy5yUxk7nG
Nn0P0ZzHhfu7JGuK95DNesnbnHqPodPsE8LJ9kGXQS4gDZg4F8U6rcnwpS1PVqOYixtNQ05kw3eL
e1lfNY54KfPaDc81Oa3xCffFRydp3DvyuHeh5hnaoU16KxS7HCZB5sKHV9J/nS2yezdROM1clmN7
0/bCK16RL9FyWxI1ntf1jzZmNhinfcygAEf9gxW27BObnkzCXPpHVbqiWPlhSzBEBQvrrhq1IlUB
V3m0ryyKmUeRKysb1zYs3S4GN+uW7hGDotdqoN6AKlN1OLzvxQA+OXRSdgn4M0IdfCr+9UDHan2p
J5coGeoMON6b1p6MW0kpGX5NQySOxL35K044bkRLQ0pE184n18bDCAoElUFjGVkwDuSArfTOT7+4
Wvj/2Du35rS1JAr/lVTecel+eTinajC2cRywE9txzrxQMmYkoRtIQkj8+vk2Agdh41zEg2tqeIsh
rU2zL727e61VdfpWXEhAU5Nw2emidbIIesUihTVAXI21wRINlG9RNdOdQKYbrptIleyCMc+lohvP
kfSLc1N7IvueBxdk0SGlou2H1DDk4kQPoI5G9lmsBzwSUEMK4VopyXcqTHiowWchBXxpiZw0ex9P
zAO4t7qKnQGih29/CrjMt+Pk2rQqJTFOK4IXNb+CIFOXYHRFVdo1SxOZbi82ruHYL891IaEtSWGB
KqiOj08NxI3vwqWlXBG3Z2k3AAYGoCuylzR2qsYgtrX5ZeDbrPtSH/V0kDo5vUuqebGQFe8CEQfr
IvHS4CZWws8rYJBmN5X15HPpCTET2ArOk2WueRSqLFOQTQFs6i3iBbxXU0P5ZCGEqnfiqVirhJmy
a/hnKZKhnXM4MKVbM4RG2FAyWEHUJUJfRieOaXpeJF+twqSWa1B+0qcjhYyUal8B0oWOep6C8Cg1
lzYg8mbd1WoBw0iUrarxvJo/ckalQ6qNEDIjF3bqF9Sfuoo0l27dlTw6L4Gm3sP4k33RAIlxOMQh
sgJmdp3kVocAsZI+FbE0Gq+4stLeJ/cyk35uts5RH7FR6Xtgyn4PdQjrnwIEW9LNR8qsP9Xn5ZW5
MlcDWnOsLlqv9N0vqynpLZXs5jwphppbnpPs0GjSllZT0kmeTKxaqNrZlKTWDc1u0zP45C8yaN/v
V2aSX1ZwB6OHF0O7A08p9H4ylaBVBl3bkovKNfLslP7TUrGu0FiendmwR/aoL8ZdOl3K29LW9K4i
U5pz4Sm5gTIMQgnwAGfa1HYvDL4AgGX63dGZ1Ty2xpX2XVXnKWehbs8cKE3zAXcdeUJBITnXc7jJ
AhRv+kY2Vx86Jc+D5d3tzRBnOZ/6ZN7SOA+HgbScf1uwDgfkudMb4OP2Z/pHY6iYYY8lNYm6nOoV
wwB9D8jeQ6Mfrop/zy3N/1wB+nkYUa8YjkayjZHMIBKAsRyUHiQ6SaRKw6yEVO7UZ+Xf6FOzvLAV
I3VoH4QjyAh6KjndL/R9llFXiyzjMiIPCVGh6Fzn7vq4zNx5d1ZGEgwdiXQJw/MDfR4GGTbS0jC0
mvDnVyqgiiC1iLs738t4JJ1pQKAHuu9LV2on41bD6Y80DRI4PY0sMa03cn4Pt2xuwbjjUj7TkOK2
AV91s6I0uErSTHpKTh2QHLRJNJBFFj2taNUZsitoqpfWSrVY1GmR91CG0h2lJLlVokW/6prSlJ0g
TQP0gSBTqTzzVoXl3uXIcyPf9e4yo5r5X/4f3/8Kloj9QBCvHk543eeO1wjt6/+wCe1rmmYJuI60
bUh4TnTJ2okEnRngMWnNIkuSaQdFBJGDvEYWbVsbBKszvM4iG0XLw29CiNadknW/oNDd0yU0yriE
qECUVEgkgDg1M1wJqVUvqaxqYMdw2wen1nJWVeeRseRAizT1MigBUEOej0p5pmvUjKuKXDsRzE01
j9N+CmhYpHbp+0KT94xyF2KuVaXfwC6WEUIlYemPoN1USQgUSDdEBvJnJDMqlJoJ6QvQVfceKjvR
rA+9Dr3/7rIglyWFo861HWkwmpJ1IBFP4CMnFpkrEwnW/pJ+kbK4dM0FFIGXIwCNUyAaFpocswIn
33Zi4oyzmebBg+5Ol/AD4UtNhQyVcFPisWx6M8lgmSiseRcSIVqNIi0CsRT6w1EUeRdzU1lBwh8b
o7s4ght+BW1lny8FvgJI1OOSDso7eJ5TEMmRNyXGg9iyBGK9Isd97iWjhWPLwA65ZBD5+kGK0gZh
/6mdFJQa6ThbkUn/NKWIopNKgL+3VICbICl+Bbl0FMuCV6kcem5QdC7hTloKxe6OW912KnmxknqS
G0wF+nGmK+aFAvvsAgyilORzVK7ckSz2oaCYB+VXUJZ+OpjB+sbtpxvRyx0Vl/9bO8ImdSF0as7W
K/3LYpJWXyfZIsyzbVeQePcmQaXlLvmzD71taCN1WecQxvD55WIErr/PO00fc2OHWQ9pPd63LIRO
TrPu0+Svj6p9ogPsENSFYpNgm/j4IYQ0cPN2x4Y/USYrAGBw3egqqGF44I6LDjnh7e9Xe/PtzzS+
gfMUIVLmw4Xmj/PdbZN45wVd9wEv7Nn44QVNgQrSVjTaCF71gqmfICRLqyS6sutXvbG/Iy/QyQmw
5VemwkEnwOeDtKZhQOddO4Gs0e5UkGUbZh9TyBzXTc/1A9+RE1RqRfsptd+dCqoMd7tqUWMi7Ste
e15gQahMExtN43oq1EWt9+QFxB1+cVt4ay7o9JjbqmE+f8vduWBaaOTSLmlLm/fZNt7ZtkBPaD2o
up3/eb9+uTke9IImAdZmQVj1THgxF0zzxILLn7lAflO83uFcgIm25b6gmScwbXBGWJvfmnBzdy4A
1kOAjcKrSChvVsz7mgssZcHG22p3VOg3Rl5Z1HU3r6YXLFFINgmJgdevX+9uRVAlEG3+rbzAigBE
JQKCzUHIGbA7FywbqgILgmaL82j9enf7grYu2rf1Auo1pBp21n3DC8oJ76jMhh9B1ftaEVx+7P3L
6e+elJp2YpnQYHOlrH9qJlfDC/qJKVTaQUfV7/9G0PQLx+lzJH7q+eHTOgb3J9lrofqhD2yjz5fv
byLPtdD8DhJg/UERktfPnjynAf5uHCHr6HjnzW20vPvfN1/w5aNfHdT2j31/kjrp2KvWX7faDHPo
RETy/wqdR6fJ8sh2zC70YyR/fWyMc2cv+InhLHC2doRPuBHT99LaLtRvSdw0TArxGIYDJ86cbGtp
PWSSJdt/v1qYfd4Q3nLFqRNCh5HGfmPUdezd1h2nSZikzlND1IuuJBZNe8sUkse5D+3x1phwCU2k
rNi2xnuT0Fk6aaNIDcXMEZy9vex9SP7zAecsosem2wFdHmEWnuN1/6nxe27ChbaeuZgkqdscsuA1
IDRva7mPx31/a2c9vdV1u1tbw5dPMMU27GqmfIQt5BIaGpi+myuyDkdaDzl+grWl+fuBXifca205
We6ZtS1C37Zmr17uTYasHGG9XDGyxTiotkNczwsRlm//8Of73udk4Wcv3AyM/ghzY+D4cWP3gIXj
GMfLwEmrFzRdYPyO8BMOnCxzxt4im+R5Y07T8akdwyX+2PNdpykxV0dsbWffwBdNRftCK2R0jrBg
Bn4GTSUqZrPG3kSXh3Qk68ki3Td9lIEncb63hygy5BftF85w8pg6e9ET6Gch+9f2lxxOCqd5bnGx
UY8QPgl90b4TzTJaUxsLE/v2EVaPsH9Y7v05pv6zYFUYPyyOegTj/6DZvv3xxA67ST+3/jXXGkin
TppwUjaOHQUxxSOcDsOfiCy1dM215zcCB6W+Zrd1y1vc9W1HfFDFs6XhG/o2syosnL1rglJnJNu6
5GcUlC1Hf/tT/P1RHnAY59HS/Jtds61tl81b5abg0PYnPdQJ0HK43yZpxMm2u1upHMVHOIu/+dxs
9qY3zbWi7NDWFw8O5w7YwGahk4SiyGO3Nj7J8g+vDp7y3hEuww9+Nk5iaMS3QxUnhGrQbb39w5/H
4A9VQgXU3RqqLUMDuP3DIcuvZZqeC7gv80/bwuxr/62ZXBOfGIcTJ/37vwAAAP//</cx:binary>
              </cx:geoCache>
            </cx:geography>
          </cx:layoutPr>
        </cx:series>
      </cx:plotAreaRegion>
    </cx:plotArea>
    <cx:legend pos="r" align="min" overlay="0"/>
  </cx:chart>
  <cx:spPr>
    <a:noFill/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_xlchart.v1.8</cx:f>
      </cx:strDim>
      <cx:numDim type="size">
        <cx:f>_xlchart.v1.10</cx:f>
      </cx:numDim>
    </cx:data>
  </cx:chartData>
  <cx:chart>
    <cx:title pos="t" align="ctr" overlay="0">
      <cx:tx>
        <cx:txData>
          <cx:v>Sales by Product Subcategories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000" b="1" i="0" u="none" strike="noStrike" baseline="0">
              <a:solidFill>
                <a:srgbClr val="2E75B6"/>
              </a:solidFill>
              <a:latin typeface="Calibri" panose="020F0502020204030204"/>
            </a:rPr>
            <a:t>Sales by Product Subcategories</a:t>
          </a:r>
        </a:p>
      </cx:txPr>
    </cx:title>
    <cx:plotArea>
      <cx:plotAreaRegion>
        <cx:series layoutId="treemap" uniqueId="{3FD45BAD-FF4A-41DA-B515-D1AE38B9210F}">
          <cx:tx>
            <cx:txData>
              <cx:f>_xlchart.v1.9</cx:f>
              <cx:v>total_sales</cx:v>
            </cx:txData>
          </cx:tx>
          <cx:spPr>
            <a:solidFill>
              <a:srgbClr val="70AD47"/>
            </a:solidFill>
          </cx:spPr>
          <cx:dataPt idx="0">
            <cx:spPr>
              <a:solidFill>
                <a:srgbClr val="2E75B6"/>
              </a:solidFill>
            </cx:spPr>
          </cx:dataPt>
          <cx:dataPt idx="5">
            <cx:spPr>
              <a:solidFill>
                <a:srgbClr val="EE8A12"/>
              </a:solidFill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svg"/><Relationship Id="rId3" Type="http://schemas.openxmlformats.org/officeDocument/2006/relationships/chart" Target="../charts/chart3.xml"/><Relationship Id="rId7" Type="http://schemas.openxmlformats.org/officeDocument/2006/relationships/image" Target="../media/image4.svg"/><Relationship Id="rId12" Type="http://schemas.openxmlformats.org/officeDocument/2006/relationships/image" Target="../media/image9.png"/><Relationship Id="rId2" Type="http://schemas.openxmlformats.org/officeDocument/2006/relationships/chart" Target="../charts/chart2.xml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svg"/><Relationship Id="rId5" Type="http://schemas.openxmlformats.org/officeDocument/2006/relationships/image" Target="../media/image2.svg"/><Relationship Id="rId15" Type="http://schemas.openxmlformats.org/officeDocument/2006/relationships/image" Target="../media/image12.svg"/><Relationship Id="rId10" Type="http://schemas.openxmlformats.org/officeDocument/2006/relationships/image" Target="../media/image7.png"/><Relationship Id="rId4" Type="http://schemas.openxmlformats.org/officeDocument/2006/relationships/image" Target="../media/image1.png"/><Relationship Id="rId9" Type="http://schemas.openxmlformats.org/officeDocument/2006/relationships/image" Target="../media/image6.svg"/><Relationship Id="rId14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7" Type="http://schemas.openxmlformats.org/officeDocument/2006/relationships/image" Target="../media/image13.emf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6" Type="http://schemas.openxmlformats.org/officeDocument/2006/relationships/chart" Target="../charts/chart6.xml"/><Relationship Id="rId5" Type="http://schemas.microsoft.com/office/2014/relationships/chartEx" Target="../charts/chartEx2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5.svg"/><Relationship Id="rId1" Type="http://schemas.openxmlformats.org/officeDocument/2006/relationships/image" Target="../media/image1.png"/><Relationship Id="rId6" Type="http://schemas.openxmlformats.org/officeDocument/2006/relationships/image" Target="../media/image16.emf"/><Relationship Id="rId5" Type="http://schemas.openxmlformats.org/officeDocument/2006/relationships/chart" Target="../charts/chart8.xml"/><Relationship Id="rId4" Type="http://schemas.microsoft.com/office/2014/relationships/chartEx" Target="../charts/chartEx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4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4</xdr:row>
      <xdr:rowOff>30480</xdr:rowOff>
    </xdr:from>
    <xdr:to>
      <xdr:col>11</xdr:col>
      <xdr:colOff>121920</xdr:colOff>
      <xdr:row>14</xdr:row>
      <xdr:rowOff>144779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8BF08B6F-31BC-0E23-2751-9A91306B5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68580</xdr:colOff>
      <xdr:row>14</xdr:row>
      <xdr:rowOff>167640</xdr:rowOff>
    </xdr:from>
    <xdr:to>
      <xdr:col>8</xdr:col>
      <xdr:colOff>259080</xdr:colOff>
      <xdr:row>24</xdr:row>
      <xdr:rowOff>144780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F96D8AE1-2E92-A12C-32A9-9BB387196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327660</xdr:colOff>
      <xdr:row>14</xdr:row>
      <xdr:rowOff>160020</xdr:rowOff>
    </xdr:from>
    <xdr:to>
      <xdr:col>15</xdr:col>
      <xdr:colOff>502920</xdr:colOff>
      <xdr:row>24</xdr:row>
      <xdr:rowOff>152400</xdr:rowOff>
    </xdr:to>
    <xdr:graphicFrame macro="">
      <xdr:nvGraphicFramePr>
        <xdr:cNvPr id="4" name="Chart 11">
          <a:extLst>
            <a:ext uri="{FF2B5EF4-FFF2-40B4-BE49-F238E27FC236}">
              <a16:creationId xmlns:a16="http://schemas.microsoft.com/office/drawing/2014/main" id="{6817D914-4EBC-02ED-32CF-DAB20C73C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99060</xdr:colOff>
      <xdr:row>0</xdr:row>
      <xdr:rowOff>15240</xdr:rowOff>
    </xdr:from>
    <xdr:to>
      <xdr:col>4</xdr:col>
      <xdr:colOff>449580</xdr:colOff>
      <xdr:row>0</xdr:row>
      <xdr:rowOff>365760</xdr:rowOff>
    </xdr:to>
    <xdr:pic>
      <xdr:nvPicPr>
        <xdr:cNvPr id="5" name="Graphic 4" descr="Shopping cart with solid fill">
          <a:extLst>
            <a:ext uri="{FF2B5EF4-FFF2-40B4-BE49-F238E27FC236}">
              <a16:creationId xmlns:a16="http://schemas.microsoft.com/office/drawing/2014/main" id="{2669F7C6-38BE-47B1-ABB5-F3BD8713A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41220" y="15240"/>
          <a:ext cx="350520" cy="350520"/>
        </a:xfrm>
        <a:prstGeom prst="rect">
          <a:avLst/>
        </a:prstGeom>
      </xdr:spPr>
    </xdr:pic>
    <xdr:clientData/>
  </xdr:twoCellAnchor>
  <xdr:twoCellAnchor editAs="oneCell">
    <xdr:from>
      <xdr:col>4</xdr:col>
      <xdr:colOff>213360</xdr:colOff>
      <xdr:row>1</xdr:row>
      <xdr:rowOff>129540</xdr:rowOff>
    </xdr:from>
    <xdr:to>
      <xdr:col>4</xdr:col>
      <xdr:colOff>525780</xdr:colOff>
      <xdr:row>3</xdr:row>
      <xdr:rowOff>68580</xdr:rowOff>
    </xdr:to>
    <xdr:pic>
      <xdr:nvPicPr>
        <xdr:cNvPr id="7" name="Graphic 6" descr="Coins with solid fill">
          <a:extLst>
            <a:ext uri="{FF2B5EF4-FFF2-40B4-BE49-F238E27FC236}">
              <a16:creationId xmlns:a16="http://schemas.microsoft.com/office/drawing/2014/main" id="{6A97FB86-BC8F-40ED-A671-15F4F79E9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55520" y="510540"/>
          <a:ext cx="312420" cy="312420"/>
        </a:xfrm>
        <a:prstGeom prst="rect">
          <a:avLst/>
        </a:prstGeom>
      </xdr:spPr>
    </xdr:pic>
    <xdr:clientData/>
  </xdr:twoCellAnchor>
  <xdr:twoCellAnchor editAs="oneCell">
    <xdr:from>
      <xdr:col>1</xdr:col>
      <xdr:colOff>205740</xdr:colOff>
      <xdr:row>1</xdr:row>
      <xdr:rowOff>99060</xdr:rowOff>
    </xdr:from>
    <xdr:to>
      <xdr:col>1</xdr:col>
      <xdr:colOff>533400</xdr:colOff>
      <xdr:row>3</xdr:row>
      <xdr:rowOff>53340</xdr:rowOff>
    </xdr:to>
    <xdr:pic>
      <xdr:nvPicPr>
        <xdr:cNvPr id="9" name="Graphic 8" descr="Money with solid fill">
          <a:extLst>
            <a:ext uri="{FF2B5EF4-FFF2-40B4-BE49-F238E27FC236}">
              <a16:creationId xmlns:a16="http://schemas.microsoft.com/office/drawing/2014/main" id="{9DD04364-A066-5795-F497-02C177D10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419100" y="480060"/>
          <a:ext cx="327660" cy="327660"/>
        </a:xfrm>
        <a:prstGeom prst="rect">
          <a:avLst/>
        </a:prstGeom>
      </xdr:spPr>
    </xdr:pic>
    <xdr:clientData/>
  </xdr:twoCellAnchor>
  <xdr:twoCellAnchor editAs="oneCell">
    <xdr:from>
      <xdr:col>7</xdr:col>
      <xdr:colOff>167640</xdr:colOff>
      <xdr:row>1</xdr:row>
      <xdr:rowOff>114300</xdr:rowOff>
    </xdr:from>
    <xdr:to>
      <xdr:col>7</xdr:col>
      <xdr:colOff>502920</xdr:colOff>
      <xdr:row>3</xdr:row>
      <xdr:rowOff>76200</xdr:rowOff>
    </xdr:to>
    <xdr:pic>
      <xdr:nvPicPr>
        <xdr:cNvPr id="11" name="Graphic 10" descr="Upward trend with solid fill">
          <a:extLst>
            <a:ext uri="{FF2B5EF4-FFF2-40B4-BE49-F238E27FC236}">
              <a16:creationId xmlns:a16="http://schemas.microsoft.com/office/drawing/2014/main" id="{82080A7F-4960-4D63-FC74-984CE166C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4038600" y="495300"/>
          <a:ext cx="335280" cy="335280"/>
        </a:xfrm>
        <a:prstGeom prst="rect">
          <a:avLst/>
        </a:prstGeom>
      </xdr:spPr>
    </xdr:pic>
    <xdr:clientData/>
  </xdr:twoCellAnchor>
  <xdr:twoCellAnchor editAs="oneCell">
    <xdr:from>
      <xdr:col>13</xdr:col>
      <xdr:colOff>175260</xdr:colOff>
      <xdr:row>1</xdr:row>
      <xdr:rowOff>76200</xdr:rowOff>
    </xdr:from>
    <xdr:to>
      <xdr:col>13</xdr:col>
      <xdr:colOff>556260</xdr:colOff>
      <xdr:row>3</xdr:row>
      <xdr:rowOff>83820</xdr:rowOff>
    </xdr:to>
    <xdr:pic>
      <xdr:nvPicPr>
        <xdr:cNvPr id="13" name="Graphic 12" descr="Users with solid fill">
          <a:extLst>
            <a:ext uri="{FF2B5EF4-FFF2-40B4-BE49-F238E27FC236}">
              <a16:creationId xmlns:a16="http://schemas.microsoft.com/office/drawing/2014/main" id="{C0E4C14A-A625-332B-7DC7-2FC2C146C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7703820" y="457200"/>
          <a:ext cx="381000" cy="381000"/>
        </a:xfrm>
        <a:prstGeom prst="rect">
          <a:avLst/>
        </a:prstGeom>
      </xdr:spPr>
    </xdr:pic>
    <xdr:clientData/>
  </xdr:twoCellAnchor>
  <xdr:twoCellAnchor editAs="oneCell">
    <xdr:from>
      <xdr:col>10</xdr:col>
      <xdr:colOff>175260</xdr:colOff>
      <xdr:row>1</xdr:row>
      <xdr:rowOff>106680</xdr:rowOff>
    </xdr:from>
    <xdr:to>
      <xdr:col>10</xdr:col>
      <xdr:colOff>510540</xdr:colOff>
      <xdr:row>3</xdr:row>
      <xdr:rowOff>68580</xdr:rowOff>
    </xdr:to>
    <xdr:pic>
      <xdr:nvPicPr>
        <xdr:cNvPr id="15" name="Graphic 14" descr="Newspaper with solid fill">
          <a:extLst>
            <a:ext uri="{FF2B5EF4-FFF2-40B4-BE49-F238E27FC236}">
              <a16:creationId xmlns:a16="http://schemas.microsoft.com/office/drawing/2014/main" id="{BF448637-B62F-8E08-1210-B6DFA0CB1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96DAC541-7B7A-43D3-8B79-37D633B846F1}">
              <asvg:svgBlip xmlns:asvg="http://schemas.microsoft.com/office/drawing/2016/SVG/main" r:embed="rId15"/>
            </a:ext>
          </a:extLst>
        </a:blip>
        <a:stretch>
          <a:fillRect/>
        </a:stretch>
      </xdr:blipFill>
      <xdr:spPr>
        <a:xfrm>
          <a:off x="5875020" y="487680"/>
          <a:ext cx="335280" cy="335280"/>
        </a:xfrm>
        <a:prstGeom prst="rect">
          <a:avLst/>
        </a:prstGeom>
      </xdr:spPr>
    </xdr:pic>
    <xdr:clientData/>
  </xdr:twoCellAnchor>
  <xdr:twoCellAnchor>
    <xdr:from>
      <xdr:col>11</xdr:col>
      <xdr:colOff>175260</xdr:colOff>
      <xdr:row>4</xdr:row>
      <xdr:rowOff>30480</xdr:rowOff>
    </xdr:from>
    <xdr:to>
      <xdr:col>15</xdr:col>
      <xdr:colOff>556260</xdr:colOff>
      <xdr:row>14</xdr:row>
      <xdr:rowOff>137160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B5AC568-BBE9-4D6A-A5F1-F61A64A97C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83820</xdr:rowOff>
    </xdr:from>
    <xdr:to>
      <xdr:col>5</xdr:col>
      <xdr:colOff>601980</xdr:colOff>
      <xdr:row>12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DBE830-3143-6D87-CE6E-0E7291E89A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228600</xdr:colOff>
      <xdr:row>0</xdr:row>
      <xdr:rowOff>15240</xdr:rowOff>
    </xdr:from>
    <xdr:to>
      <xdr:col>4</xdr:col>
      <xdr:colOff>579120</xdr:colOff>
      <xdr:row>0</xdr:row>
      <xdr:rowOff>365760</xdr:rowOff>
    </xdr:to>
    <xdr:pic>
      <xdr:nvPicPr>
        <xdr:cNvPr id="8" name="Graphic 7" descr="Shopping cart with solid fill">
          <a:extLst>
            <a:ext uri="{FF2B5EF4-FFF2-40B4-BE49-F238E27FC236}">
              <a16:creationId xmlns:a16="http://schemas.microsoft.com/office/drawing/2014/main" id="{F1CA731D-F3AB-9FE6-866A-D8503B184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63140" y="15240"/>
          <a:ext cx="350520" cy="350520"/>
        </a:xfrm>
        <a:prstGeom prst="rect">
          <a:avLst/>
        </a:prstGeom>
      </xdr:spPr>
    </xdr:pic>
    <xdr:clientData/>
  </xdr:twoCellAnchor>
  <xdr:twoCellAnchor>
    <xdr:from>
      <xdr:col>6</xdr:col>
      <xdr:colOff>7620</xdr:colOff>
      <xdr:row>1</xdr:row>
      <xdr:rowOff>83820</xdr:rowOff>
    </xdr:from>
    <xdr:to>
      <xdr:col>10</xdr:col>
      <xdr:colOff>586740</xdr:colOff>
      <xdr:row>12</xdr:row>
      <xdr:rowOff>22860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D88E80-A3BF-49D8-B2E5-1DA7321044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61360" y="464820"/>
              <a:ext cx="3017520" cy="1950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594360</xdr:colOff>
      <xdr:row>1</xdr:row>
      <xdr:rowOff>76200</xdr:rowOff>
    </xdr:from>
    <xdr:to>
      <xdr:col>15</xdr:col>
      <xdr:colOff>586740</xdr:colOff>
      <xdr:row>12</xdr:row>
      <xdr:rowOff>30480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50EC836F-78B2-47F1-965A-2EB25619DC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86500" y="457200"/>
              <a:ext cx="3040380" cy="19659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228600</xdr:colOff>
      <xdr:row>12</xdr:row>
      <xdr:rowOff>114300</xdr:rowOff>
    </xdr:from>
    <xdr:to>
      <xdr:col>15</xdr:col>
      <xdr:colOff>571500</xdr:colOff>
      <xdr:row>24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93B66D2-0C7F-4286-9531-9A6614CFA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0</xdr:rowOff>
        </xdr:from>
        <xdr:to>
          <xdr:col>11</xdr:col>
          <xdr:colOff>173045</xdr:colOff>
          <xdr:row>24</xdr:row>
          <xdr:rowOff>30480</xdr:rowOff>
        </xdr:to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5FA6F3C-C48D-26B1-BF04-C84115DB669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op_customers!$A$1:$E$12" spid="_x0000_s1442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320040" y="2575560"/>
              <a:ext cx="6154745" cy="2042160"/>
            </a:xfrm>
            <a:prstGeom prst="rect">
              <a:avLst/>
            </a:prstGeom>
            <a:noFill/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22860</xdr:rowOff>
    </xdr:from>
    <xdr:to>
      <xdr:col>4</xdr:col>
      <xdr:colOff>579120</xdr:colOff>
      <xdr:row>0</xdr:row>
      <xdr:rowOff>373380</xdr:rowOff>
    </xdr:to>
    <xdr:pic>
      <xdr:nvPicPr>
        <xdr:cNvPr id="2" name="Graphic 1" descr="Shopping cart with solid fill">
          <a:extLst>
            <a:ext uri="{FF2B5EF4-FFF2-40B4-BE49-F238E27FC236}">
              <a16:creationId xmlns:a16="http://schemas.microsoft.com/office/drawing/2014/main" id="{46D0DEE8-B134-4306-B0D7-A746ECF47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55520" y="22860"/>
          <a:ext cx="350520" cy="350520"/>
        </a:xfrm>
        <a:prstGeom prst="rect">
          <a:avLst/>
        </a:prstGeom>
      </xdr:spPr>
    </xdr:pic>
    <xdr:clientData/>
  </xdr:twoCellAnchor>
  <xdr:twoCellAnchor>
    <xdr:from>
      <xdr:col>1</xdr:col>
      <xdr:colOff>7620</xdr:colOff>
      <xdr:row>0</xdr:row>
      <xdr:rowOff>373380</xdr:rowOff>
    </xdr:from>
    <xdr:to>
      <xdr:col>8</xdr:col>
      <xdr:colOff>281940</xdr:colOff>
      <xdr:row>12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4E3C56-8A3B-4533-9E8F-1DC9AEA67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266700</xdr:colOff>
      <xdr:row>1</xdr:row>
      <xdr:rowOff>0</xdr:rowOff>
    </xdr:from>
    <xdr:to>
      <xdr:col>15</xdr:col>
      <xdr:colOff>601980</xdr:colOff>
      <xdr:row>17</xdr:row>
      <xdr:rowOff>53340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7896097-9497-423B-B2CC-0BD279816E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32020" y="381000"/>
              <a:ext cx="4602480" cy="2979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15240</xdr:colOff>
      <xdr:row>12</xdr:row>
      <xdr:rowOff>15240</xdr:rowOff>
    </xdr:from>
    <xdr:to>
      <xdr:col>8</xdr:col>
      <xdr:colOff>259080</xdr:colOff>
      <xdr:row>24</xdr:row>
      <xdr:rowOff>167640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1D788BA-5485-48E6-A646-49A505C827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335280</xdr:colOff>
          <xdr:row>17</xdr:row>
          <xdr:rowOff>81781</xdr:rowOff>
        </xdr:from>
        <xdr:to>
          <xdr:col>15</xdr:col>
          <xdr:colOff>533400</xdr:colOff>
          <xdr:row>24</xdr:row>
          <xdr:rowOff>83671</xdr:rowOff>
        </xdr:to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4A52E538-DD52-33F7-A356-C1925BDDA00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ubcategory_performance!$A$20:$C$24" spid="_x0000_s15415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4800600" y="3388861"/>
              <a:ext cx="4465320" cy="1282050"/>
            </a:xfrm>
            <a:prstGeom prst="rect">
              <a:avLst/>
            </a:prstGeom>
            <a:noFill/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D933285-3084-4A30-AF53-F3ABE944D4D5}" autoFormatId="16" applyNumberFormats="0" applyBorderFormats="0" applyFontFormats="0" applyPatternFormats="0" applyAlignmentFormats="0" applyWidthHeightFormats="0">
  <queryTableRefresh nextId="6">
    <queryTableFields count="5">
      <queryTableField id="1" name="total_sales" tableColumnId="1"/>
      <queryTableField id="2" name="total_profit" tableColumnId="2"/>
      <queryTableField id="3" name="profit_margin_pct" tableColumnId="3"/>
      <queryTableField id="4" name="total_orders" tableColumnId="4"/>
      <queryTableField id="5" name="total_customer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9609B6B-75BE-4A1E-9EE6-18B54FD3DA79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yearly_sales" tableColumnId="2"/>
      <queryTableField id="3" name="yearly_profit" tableColumnId="3"/>
      <queryTableField id="4" name="previous_year_sales" tableColumnId="4"/>
      <queryTableField id="5" name="sales_growth_pct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247CDE2-4A80-4551-A553-A452379856BE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year" tableColumnId="1"/>
      <queryTableField id="2" name="month_name" tableColumnId="2"/>
      <queryTableField id="3" name="month_date" tableColumnId="3"/>
      <queryTableField id="4" name="monthly_revenue" tableColumnId="4"/>
      <queryTableField id="5" name="previous_month_revenue" tableColumnId="5"/>
      <queryTableField id="6" name="sales_growth_pct" tableColumnId="6"/>
      <queryTableField id="7" dataBound="0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5CB36B1A-D999-435E-AE4C-A781229ACCBD}" autoFormatId="16" applyNumberFormats="0" applyBorderFormats="0" applyFontFormats="0" applyPatternFormats="0" applyAlignmentFormats="0" applyWidthHeightFormats="0">
  <queryTableRefresh nextId="6">
    <queryTableFields count="5">
      <queryTableField id="1" name="ship_mode" tableColumnId="1"/>
      <queryTableField id="2" name="total_orders" tableColumnId="2"/>
      <queryTableField id="3" name="total_sales" tableColumnId="3"/>
      <queryTableField id="4" name="total_profit" tableColumnId="4"/>
      <queryTableField id="5" name="avg_days_to_ship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74026C5A-B668-4A5D-BACF-D60C22DB5C64}" autoFormatId="16" applyNumberFormats="0" applyBorderFormats="0" applyFontFormats="0" applyPatternFormats="0" applyAlignmentFormats="0" applyWidthHeightFormats="0">
  <queryTableRefresh nextId="7">
    <queryTableFields count="6">
      <queryTableField id="1" name="region" tableColumnId="1"/>
      <queryTableField id="2" name="total_orders" tableColumnId="2"/>
      <queryTableField id="3" name="total_sales" tableColumnId="3"/>
      <queryTableField id="4" name="total_profit" tableColumnId="4"/>
      <queryTableField id="5" name="profit_margin_pct" tableColumnId="5"/>
      <queryTableField id="6" name="avg_order_valu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E4C434B6-E7A4-4810-B3B9-6B571A990518}" autoFormatId="16" applyNumberFormats="0" applyBorderFormats="0" applyFontFormats="0" applyPatternFormats="0" applyAlignmentFormats="0" applyWidthHeightFormats="0">
  <queryTableRefresh nextId="8">
    <queryTableFields count="6">
      <queryTableField id="1" name="country_region" tableColumnId="1"/>
      <queryTableField id="2" name="state_province" tableColumnId="2"/>
      <queryTableField id="3" name="total_orders" tableColumnId="3"/>
      <queryTableField id="4" name="total_sales" tableColumnId="4"/>
      <queryTableField id="5" name="total_profit" tableColumnId="5"/>
      <queryTableField id="6" name="rank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7A1FD8-5D3C-473A-995D-60175D640EC5}" autoFormatId="16" applyNumberFormats="0" applyBorderFormats="0" applyFontFormats="0" applyPatternFormats="0" applyAlignmentFormats="0" applyWidthHeightFormats="0">
  <queryTableRefresh nextId="6">
    <queryTableFields count="5">
      <queryTableField id="1" name="customer_name" tableColumnId="1"/>
      <queryTableField id="2" name="total_orders" tableColumnId="2"/>
      <queryTableField id="3" name="total_sales" tableColumnId="3"/>
      <queryTableField id="4" name="total_profit" tableColumnId="4"/>
      <queryTableField id="5" name="avg_order_valu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BD0208D8-2422-4A27-BF6B-CAD656D82AD8}" autoFormatId="16" applyNumberFormats="0" applyBorderFormats="0" applyFontFormats="0" applyPatternFormats="0" applyAlignmentFormats="0" applyWidthHeightFormats="0">
  <queryTableRefresh nextId="8">
    <queryTableFields count="7">
      <queryTableField id="1" name="segment" tableColumnId="1"/>
      <queryTableField id="2" name="total_customers" tableColumnId="2"/>
      <queryTableField id="3" name="total_orders" tableColumnId="3"/>
      <queryTableField id="4" name="total_sales" tableColumnId="4"/>
      <queryTableField id="5" name="total_profit" tableColumnId="5"/>
      <queryTableField id="6" name="profit_margin_pct" tableColumnId="6"/>
      <queryTableField id="7" name="avg_order_value" tableColumnId="7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9CA3BC2-537E-4AE8-B7B7-B0B3D0B9A70B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total_sales" tableColumnId="2"/>
      <queryTableField id="3" name="total_profit" tableColumnId="3"/>
      <queryTableField id="4" name="profit_margin_pct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B56B022B-24A6-4089-9F6B-F079E63AA63D}" autoFormatId="16" applyNumberFormats="0" applyBorderFormats="0" applyFontFormats="0" applyPatternFormats="0" applyAlignmentFormats="0" applyWidthHeightFormats="0">
  <queryTableRefresh nextId="6">
    <queryTableFields count="5">
      <queryTableField id="1" name="category" tableColumnId="1"/>
      <queryTableField id="2" name="sub_category" tableColumnId="2"/>
      <queryTableField id="3" name="total_sales" tableColumnId="3"/>
      <queryTableField id="4" name="total_profit" tableColumnId="4"/>
      <queryTableField id="5" name="rank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2B4196C-17E8-4D24-8F39-9F3579FCEB53}" autoFormatId="16" applyNumberFormats="0" applyBorderFormats="0" applyFontFormats="0" applyPatternFormats="0" applyAlignmentFormats="0" applyWidthHeightFormats="0">
  <queryTableRefresh nextId="7">
    <queryTableFields count="6">
      <queryTableField id="1" name="discount_band" tableColumnId="1"/>
      <queryTableField id="2" name="sort_order" tableColumnId="2"/>
      <queryTableField id="3" name="total_rows" tableColumnId="3"/>
      <queryTableField id="4" name="total_sales" tableColumnId="4"/>
      <queryTableField id="5" name="total_profit" tableColumnId="5"/>
      <queryTableField id="6" name="average_profi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EE31FB-8DA2-4577-B98B-90EDAC56F899}" name="business_kpi" displayName="business_kpi" ref="A1:E2" tableType="queryTable" totalsRowShown="0" headerRowDxfId="23" dataDxfId="22">
  <autoFilter ref="A1:E2" xr:uid="{F4EE31FB-8DA2-4577-B98B-90EDAC56F899}"/>
  <tableColumns count="5">
    <tableColumn id="1" xr3:uid="{E8980300-6738-45F1-9BCE-A3E43F243F67}" uniqueName="1" name="total_sales" queryTableFieldId="1" dataDxfId="28"/>
    <tableColumn id="2" xr3:uid="{BFD19536-9146-4497-8EBA-34F5BBDB32EF}" uniqueName="2" name="total_profit" queryTableFieldId="2" dataDxfId="27"/>
    <tableColumn id="3" xr3:uid="{B0AE11F7-88B3-4078-94A6-27BBE167F2F9}" uniqueName="3" name="profit_margin_pct" queryTableFieldId="3" dataDxfId="26"/>
    <tableColumn id="4" xr3:uid="{CF7A0725-1197-444A-9A45-F905258E7FA9}" uniqueName="4" name="total_orders" queryTableFieldId="4" dataDxfId="25"/>
    <tableColumn id="5" xr3:uid="{E79A2F39-37C7-4C3E-B5CC-F49BE8F97902}" uniqueName="5" name="total_customers" queryTableFieldId="5" dataDxfId="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9EE19E-60D6-4534-9562-14F91E2408B4}" name="yearly_trend" displayName="yearly_trend" ref="A1:E4" tableType="queryTable" totalsRowShown="0" headerRowDxfId="19" dataDxfId="18">
  <autoFilter ref="A1:E4" xr:uid="{EC9EE19E-60D6-4534-9562-14F91E2408B4}"/>
  <tableColumns count="5">
    <tableColumn id="1" xr3:uid="{9B993A57-A176-4748-80AD-7554B79E94DC}" uniqueName="1" name="year" queryTableFieldId="1" dataDxfId="21"/>
    <tableColumn id="2" xr3:uid="{DB160DC7-9D32-4EE7-AC76-D7CEC9C77BBD}" uniqueName="2" name="yearly_sales" queryTableFieldId="2" dataDxfId="20"/>
    <tableColumn id="3" xr3:uid="{FF7F1588-049A-499D-B1BD-8B0EE222DA98}" uniqueName="3" name="yearly_profit" queryTableFieldId="3" dataDxfId="17"/>
    <tableColumn id="4" xr3:uid="{5FC7514E-2E00-47F8-A4D5-21F542948636}" uniqueName="4" name="previous_year_sales" queryTableFieldId="4" dataDxfId="15"/>
    <tableColumn id="5" xr3:uid="{F30CDE57-0F67-4898-83E6-9A05BEFC71AE}" uniqueName="5" name="sales_growth_pct" queryTableFieldId="5" dataDxfId="16" dataCellStyle="Percent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2EE038E-D460-482F-921B-0D5942103D2E}" name="monthly_trend" displayName="monthly_trend" ref="A1:G1048576" tableType="queryTable" totalsRowShown="0">
  <autoFilter ref="A1:G1048576" xr:uid="{72EE038E-D460-482F-921B-0D5942103D2E}"/>
  <tableColumns count="7">
    <tableColumn id="1" xr3:uid="{F5CC565E-0103-4E43-967B-EA22F6090A54}" uniqueName="1" name="year" queryTableFieldId="1"/>
    <tableColumn id="2" xr3:uid="{CB9E1238-C80F-4A51-98F6-68A0AD3D77B8}" uniqueName="2" name="month_name" queryTableFieldId="2" dataDxfId="56"/>
    <tableColumn id="3" xr3:uid="{4AEABB1D-C690-4F39-87F7-A8454CDE5DE0}" uniqueName="3" name="month_date" queryTableFieldId="3" dataDxfId="55"/>
    <tableColumn id="4" xr3:uid="{7AC33F9C-6BA9-4CD1-B99F-E4482E12924E}" uniqueName="4" name="monthly_revenue" queryTableFieldId="4" dataDxfId="54"/>
    <tableColumn id="5" xr3:uid="{BCC39B5C-8E98-44F1-800E-03986F4C2E0E}" uniqueName="5" name="previous_month_revenue" queryTableFieldId="5" dataDxfId="14"/>
    <tableColumn id="6" xr3:uid="{CDEF19D4-CDF5-4A8D-95C3-118655407638}" uniqueName="6" name="sales_growth_pct" queryTableFieldId="6" dataDxfId="53"/>
    <tableColumn id="8" xr3:uid="{EFF9FFB8-D099-407C-BCF9-35F7F9FF9D0E}" uniqueName="8" name="month_year" queryTableFieldId="7" dataDxfId="5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C7B0445-DD7F-41DC-9B82-4286FA47985F}" name="sales_by_shipmode" displayName="sales_by_shipmode" ref="A1:E5" tableType="queryTable" totalsRowShown="0">
  <autoFilter ref="A1:E5" xr:uid="{7C7B0445-DD7F-41DC-9B82-4286FA47985F}"/>
  <tableColumns count="5">
    <tableColumn id="1" xr3:uid="{95F43063-4246-4666-84F7-B89B8B01A247}" uniqueName="1" name="ship_mode" queryTableFieldId="1" dataDxfId="51"/>
    <tableColumn id="2" xr3:uid="{0358F701-2950-4AF5-9574-935CF6574715}" uniqueName="2" name="total_orders" queryTableFieldId="2"/>
    <tableColumn id="3" xr3:uid="{A1066213-A27A-461F-A182-CF6038F36F83}" uniqueName="3" name="total_sales" queryTableFieldId="3" dataDxfId="12"/>
    <tableColumn id="4" xr3:uid="{723E6AB1-E81A-4066-BDD8-3B5E05431302}" uniqueName="4" name="total_profit" queryTableFieldId="4" dataDxfId="13"/>
    <tableColumn id="5" xr3:uid="{CA3A1B08-264E-4925-A03D-92C536115C8E}" uniqueName="5" name="avg_days_to_ship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0E481A-FF47-4BDB-9991-F37333C01CE6}" name="sales_by_region" displayName="sales_by_region" ref="A1:F5" tableType="queryTable" totalsRowShown="0">
  <autoFilter ref="A1:F5" xr:uid="{A70E481A-FF47-4BDB-9991-F37333C01CE6}"/>
  <tableColumns count="6">
    <tableColumn id="1" xr3:uid="{FEEC1587-66C3-49A8-80DF-5708B14BCE99}" uniqueName="1" name="region" queryTableFieldId="1" dataDxfId="50"/>
    <tableColumn id="2" xr3:uid="{F5E82ED6-AF9B-452D-8131-60775F7D74EE}" uniqueName="2" name="total_orders" queryTableFieldId="2"/>
    <tableColumn id="3" xr3:uid="{ECEF8825-4B34-425B-A485-BD99C7E55D81}" uniqueName="3" name="total_sales" queryTableFieldId="3" dataDxfId="49"/>
    <tableColumn id="4" xr3:uid="{D275554B-DC99-41BC-B4C9-A1D0612B6821}" uniqueName="4" name="total_profit" queryTableFieldId="4" dataDxfId="48"/>
    <tableColumn id="5" xr3:uid="{210821F6-E412-48A8-B40B-B8CC3CCB8C92}" uniqueName="5" name="profit_margin_pct" queryTableFieldId="5" dataDxfId="47"/>
    <tableColumn id="6" xr3:uid="{0F8F2D22-6EA8-4D93-9536-751DDD38DDF5}" uniqueName="6" name="avg_order_value" queryTableFieldId="6" dataDxfId="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768326-0D74-4309-85DE-5B6EDFD15707}" name="top_states" displayName="top_states" ref="A1:F21" tableType="queryTable" totalsRowShown="0">
  <autoFilter ref="A1:F21" xr:uid="{ED768326-0D74-4309-85DE-5B6EDFD15707}"/>
  <tableColumns count="6">
    <tableColumn id="1" xr3:uid="{EC05DE92-705E-4F67-A328-039CA7FFFF31}" uniqueName="1" name="country_region" queryTableFieldId="1" dataDxfId="45"/>
    <tableColumn id="2" xr3:uid="{2C1A43F9-D7CF-4D8E-A82E-9B4ADB7FA33A}" uniqueName="2" name="state_province" queryTableFieldId="2" dataDxfId="44"/>
    <tableColumn id="3" xr3:uid="{11BAFD0A-B41C-4939-9D45-A18EBD457673}" uniqueName="3" name="total_orders" queryTableFieldId="3"/>
    <tableColumn id="4" xr3:uid="{C1407B7F-DDDD-4672-8A0C-9241AF7106A0}" uniqueName="4" name="total_sales" queryTableFieldId="4" dataDxfId="43"/>
    <tableColumn id="5" xr3:uid="{CD7D63FF-A631-48E8-A92F-DE0C55BB5BAE}" uniqueName="5" name="total_profit" queryTableFieldId="5" dataDxfId="42"/>
    <tableColumn id="6" xr3:uid="{E9528E21-D9DE-4632-A834-3126DED6F3A6}" uniqueName="6" name="rank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B7A0A5-316A-4231-9E52-15D9210714DF}" name="top_customers" displayName="top_customers" ref="A2:E12" tableType="queryTable" totalsRowShown="0" headerRowDxfId="41" dataDxfId="39" headerRowBorderDxfId="40">
  <tableColumns count="5">
    <tableColumn id="1" xr3:uid="{A1AD86E5-5832-4E26-8369-A0EE829CB320}" uniqueName="1" name="Customer Name" queryTableFieldId="1" dataDxfId="38"/>
    <tableColumn id="2" xr3:uid="{B091F6C4-CEF9-48F1-AF31-7861B0BC7693}" uniqueName="2" name="Total Orders" queryTableFieldId="2" dataDxfId="37"/>
    <tableColumn id="3" xr3:uid="{D25EC16A-C4A3-4BD8-B505-6618C3500829}" uniqueName="3" name="Total Sales" queryTableFieldId="3" dataDxfId="36"/>
    <tableColumn id="4" xr3:uid="{68696187-615B-4645-9055-2063D32F2613}" uniqueName="4" name="Total Profit" queryTableFieldId="4" dataDxfId="35"/>
    <tableColumn id="5" xr3:uid="{18F3D109-9A4B-4341-AD18-D8518FA48F8F}" uniqueName="5" name="Average Order Value" queryTableFieldId="5" dataDxfId="3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E5D002-1166-4460-B4D6-2CDE22EC6D46}" name="sales_by_customer_segment" displayName="sales_by_customer_segment" ref="A1:G4" tableType="queryTable" totalsRowShown="0">
  <autoFilter ref="A1:G4" xr:uid="{ACE5D002-1166-4460-B4D6-2CDE22EC6D46}"/>
  <tableColumns count="7">
    <tableColumn id="1" xr3:uid="{76A6AC9E-10D3-4BA1-8B57-713850105398}" uniqueName="1" name="segment" queryTableFieldId="1" dataDxfId="33"/>
    <tableColumn id="2" xr3:uid="{5167B0EC-10CD-4443-A83A-493ADA97049F}" uniqueName="2" name="total_customers" queryTableFieldId="2"/>
    <tableColumn id="3" xr3:uid="{85EAEFCF-B381-49CE-8011-D9F5309CD0BF}" uniqueName="3" name="total_orders" queryTableFieldId="3"/>
    <tableColumn id="4" xr3:uid="{6ABF17FE-9381-4C21-88D7-8CC6AEC01EC7}" uniqueName="4" name="total_sales" queryTableFieldId="4" dataDxfId="11"/>
    <tableColumn id="5" xr3:uid="{8DF59471-4844-4AE3-BECD-B930B3AF8D82}" uniqueName="5" name="total_profit" queryTableFieldId="5" dataDxfId="10"/>
    <tableColumn id="6" xr3:uid="{2A81593A-2320-4275-A1A8-0E0546216EDE}" uniqueName="6" name="profit_margin_pct" queryTableFieldId="6" dataDxfId="9"/>
    <tableColumn id="7" xr3:uid="{CD470EB4-97B5-4F1D-B4D4-E7CC7ED62950}" uniqueName="7" name="avg_order_value" queryTableFieldId="7" dataDxf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4FC330-A751-40B3-8CAE-D1568425B993}" name="sales_by_category" displayName="sales_by_category" ref="A1:D4" tableType="queryTable" totalsRowShown="0">
  <autoFilter ref="A1:D4" xr:uid="{1A4FC330-A751-40B3-8CAE-D1568425B993}"/>
  <tableColumns count="4">
    <tableColumn id="1" xr3:uid="{10A5C29C-F364-4943-A3F3-31C29D5616DD}" uniqueName="1" name="category" queryTableFieldId="1" dataDxfId="32"/>
    <tableColumn id="2" xr3:uid="{E403751F-9F66-4B38-ABE3-89E183BEC3C4}" uniqueName="2" name="total_sales" queryTableFieldId="2" dataDxfId="7"/>
    <tableColumn id="3" xr3:uid="{44D78EA5-0D66-4C2B-B3CE-FFE96D740F0D}" uniqueName="3" name="total_profit" queryTableFieldId="3" dataDxfId="6"/>
    <tableColumn id="4" xr3:uid="{118C7073-B1F2-41AE-8112-B05132D5710E}" uniqueName="4" name="profit_margin_pct" queryTableFieldId="4" dataDxf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6D0AA97-A797-48EE-8985-EA6D4909ABFE}" name="subcategory_performance" displayName="subcategory_performance" ref="A1:E18" tableType="queryTable" totalsRowShown="0">
  <autoFilter ref="A1:E18" xr:uid="{86D0AA97-A797-48EE-8985-EA6D4909ABFE}"/>
  <tableColumns count="5">
    <tableColumn id="1" xr3:uid="{2108848D-8E9A-4EEB-A3DD-5468F284CD21}" uniqueName="1" name="category" queryTableFieldId="1" dataDxfId="31"/>
    <tableColumn id="2" xr3:uid="{F334EF15-3F6F-4765-8CEC-17F200C556B1}" uniqueName="2" name="sub_category" queryTableFieldId="2" dataDxfId="30"/>
    <tableColumn id="3" xr3:uid="{18BC9C91-6C60-4BBB-AA8D-B98F12E0B4E1}" uniqueName="3" name="total_sales" queryTableFieldId="3" dataDxfId="4"/>
    <tableColumn id="4" xr3:uid="{37EDECD3-091E-44F5-9210-3EF0D51C9CFA}" uniqueName="4" name="total_profit" queryTableFieldId="4" dataDxfId="3"/>
    <tableColumn id="5" xr3:uid="{9A44B6F3-53D2-4CCE-B2A1-FB68B04EA038}" uniqueName="5" name="rank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8309C61-3F14-4A7D-AC0C-8BA14E05320E}" name="discount_impact" displayName="discount_impact" ref="A1:F8" tableType="queryTable" totalsRowShown="0">
  <autoFilter ref="A1:F8" xr:uid="{B8309C61-3F14-4A7D-AC0C-8BA14E05320E}"/>
  <tableColumns count="6">
    <tableColumn id="1" xr3:uid="{0A0C6352-CB60-41D9-BB9D-B7C49E5C1BB9}" uniqueName="1" name="discount_band" queryTableFieldId="1" dataDxfId="29"/>
    <tableColumn id="2" xr3:uid="{C60206A8-EC5E-421F-8C6F-74094114CC8D}" uniqueName="2" name="sort_order" queryTableFieldId="2"/>
    <tableColumn id="3" xr3:uid="{6C7FE9B4-9933-4BF1-966F-D66E37A3759E}" uniqueName="3" name="total_rows" queryTableFieldId="3"/>
    <tableColumn id="4" xr3:uid="{5A7768F2-D06F-4592-9162-B62B32A934BC}" uniqueName="4" name="total_sales" queryTableFieldId="4" dataDxfId="2"/>
    <tableColumn id="5" xr3:uid="{37A73C9E-F950-4906-AB21-EF2A98B436D1}" uniqueName="5" name="total_profit" queryTableFieldId="5" dataDxfId="1"/>
    <tableColumn id="6" xr3:uid="{F8D01D77-6698-4FF2-BE61-15F7090A2562}" uniqueName="6" name="average_profit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C7FB5-1C7B-433E-9718-403535F51AC3}">
  <sheetPr>
    <tabColor rgb="FF2E75B6"/>
    <pageSetUpPr autoPageBreaks="0"/>
  </sheetPr>
  <dimension ref="B1:P25"/>
  <sheetViews>
    <sheetView showGridLines="0" zoomScaleNormal="100" workbookViewId="0">
      <selection activeCell="R7" sqref="R7"/>
    </sheetView>
  </sheetViews>
  <sheetFormatPr defaultRowHeight="14.4" x14ac:dyDescent="0.3"/>
  <cols>
    <col min="1" max="1" width="3.109375" style="1" customWidth="1"/>
    <col min="2" max="3" width="8.88671875" style="1"/>
    <col min="4" max="4" width="8.88671875" style="1" customWidth="1"/>
    <col min="5" max="16" width="8.88671875" style="1"/>
    <col min="17" max="17" width="2.6640625" style="1" customWidth="1"/>
    <col min="18" max="16384" width="8.88671875" style="1"/>
  </cols>
  <sheetData>
    <row r="1" spans="2:16" ht="30" customHeight="1" thickBot="1" x14ac:dyDescent="0.35">
      <c r="B1" s="32" t="s">
        <v>221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2:16" ht="15" thickTop="1" x14ac:dyDescent="0.3">
      <c r="B2" s="33">
        <f>'Business KPI'!A2</f>
        <v>1580967.08</v>
      </c>
      <c r="C2" s="34"/>
      <c r="D2" s="34"/>
      <c r="E2" s="37">
        <f>'Business KPI'!B2</f>
        <v>196370.72</v>
      </c>
      <c r="F2" s="38"/>
      <c r="G2" s="38"/>
      <c r="H2" s="41">
        <f>'Business KPI'!C2</f>
        <v>12.42</v>
      </c>
      <c r="I2" s="42"/>
      <c r="J2" s="42"/>
      <c r="K2" s="45">
        <f>'Business KPI'!D2</f>
        <v>3388</v>
      </c>
      <c r="L2" s="46"/>
      <c r="M2" s="46"/>
      <c r="N2" s="45">
        <f>'Business KPI'!E2</f>
        <v>793</v>
      </c>
      <c r="O2" s="46"/>
      <c r="P2" s="49"/>
    </row>
    <row r="3" spans="2:16" x14ac:dyDescent="0.3">
      <c r="B3" s="35"/>
      <c r="C3" s="36"/>
      <c r="D3" s="36"/>
      <c r="E3" s="39"/>
      <c r="F3" s="40"/>
      <c r="G3" s="40"/>
      <c r="H3" s="43"/>
      <c r="I3" s="44"/>
      <c r="J3" s="44"/>
      <c r="K3" s="47"/>
      <c r="L3" s="48"/>
      <c r="M3" s="48"/>
      <c r="N3" s="47"/>
      <c r="O3" s="48"/>
      <c r="P3" s="50"/>
    </row>
    <row r="4" spans="2:16" ht="15" thickBot="1" x14ac:dyDescent="0.35">
      <c r="B4" s="51" t="s">
        <v>222</v>
      </c>
      <c r="C4" s="52"/>
      <c r="D4" s="52"/>
      <c r="E4" s="51" t="s">
        <v>223</v>
      </c>
      <c r="F4" s="52"/>
      <c r="G4" s="52"/>
      <c r="H4" s="51" t="s">
        <v>227</v>
      </c>
      <c r="I4" s="52"/>
      <c r="J4" s="52"/>
      <c r="K4" s="51" t="s">
        <v>224</v>
      </c>
      <c r="L4" s="52"/>
      <c r="M4" s="52"/>
      <c r="N4" s="51" t="s">
        <v>225</v>
      </c>
      <c r="O4" s="52"/>
      <c r="P4" s="53"/>
    </row>
    <row r="5" spans="2:16" ht="15" thickTop="1" x14ac:dyDescent="0.3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spans="2:16" x14ac:dyDescent="0.3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2:16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2:16" x14ac:dyDescent="0.3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2:16" x14ac:dyDescent="0.3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2:16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2:16" x14ac:dyDescent="0.3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2:16" x14ac:dyDescent="0.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2:16" x14ac:dyDescent="0.3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2:16" x14ac:dyDescent="0.3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2:16" x14ac:dyDescent="0.3"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2:16" x14ac:dyDescent="0.3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2:16" x14ac:dyDescent="0.3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2:16" x14ac:dyDescent="0.3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2:16" x14ac:dyDescent="0.3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2:16" x14ac:dyDescent="0.3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2:16" x14ac:dyDescent="0.3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2:16" x14ac:dyDescent="0.3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2:16" x14ac:dyDescent="0.3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2:16" x14ac:dyDescent="0.3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2:16" x14ac:dyDescent="0.3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</sheetData>
  <mergeCells count="11">
    <mergeCell ref="B4:D4"/>
    <mergeCell ref="E4:G4"/>
    <mergeCell ref="H4:J4"/>
    <mergeCell ref="K4:M4"/>
    <mergeCell ref="N4:P4"/>
    <mergeCell ref="B1:P1"/>
    <mergeCell ref="B2:D3"/>
    <mergeCell ref="E2:G3"/>
    <mergeCell ref="H2:J3"/>
    <mergeCell ref="K2:M3"/>
    <mergeCell ref="N2:P3"/>
  </mergeCells>
  <pageMargins left="0.7" right="0.7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1F30-4ACC-4B5C-B5F8-80339855CA81}">
  <sheetPr>
    <tabColor rgb="FF2E75B6"/>
    <pageSetUpPr autoPageBreaks="0"/>
  </sheetPr>
  <dimension ref="B1:P25"/>
  <sheetViews>
    <sheetView showGridLines="0" tabSelected="1" workbookViewId="0">
      <selection activeCell="S19" sqref="S19"/>
    </sheetView>
  </sheetViews>
  <sheetFormatPr defaultRowHeight="14.4" x14ac:dyDescent="0.3"/>
  <cols>
    <col min="1" max="1" width="3" style="1" customWidth="1"/>
    <col min="2" max="2" width="8.88671875" style="1" customWidth="1"/>
    <col min="3" max="16" width="8.88671875" style="1"/>
    <col min="17" max="17" width="2.88671875" style="1" customWidth="1"/>
    <col min="18" max="16384" width="8.88671875" style="1"/>
  </cols>
  <sheetData>
    <row r="1" spans="2:16" ht="30" customHeight="1" x14ac:dyDescent="0.3">
      <c r="B1" s="32" t="s">
        <v>228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2:16" x14ac:dyDescent="0.3"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2:16" x14ac:dyDescent="0.3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2:16" x14ac:dyDescent="0.3"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spans="2:16" x14ac:dyDescent="0.3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spans="2:16" x14ac:dyDescent="0.3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2:16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2:16" x14ac:dyDescent="0.3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2:16" x14ac:dyDescent="0.3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2:16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2:16" x14ac:dyDescent="0.3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2:16" x14ac:dyDescent="0.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2:16" x14ac:dyDescent="0.3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2:16" x14ac:dyDescent="0.3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2:16" x14ac:dyDescent="0.3"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2:16" x14ac:dyDescent="0.3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2:16" x14ac:dyDescent="0.3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2:16" x14ac:dyDescent="0.3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2:16" x14ac:dyDescent="0.3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2:16" x14ac:dyDescent="0.3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2:16" x14ac:dyDescent="0.3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2:16" x14ac:dyDescent="0.3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2:16" x14ac:dyDescent="0.3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2:16" x14ac:dyDescent="0.3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2:16" x14ac:dyDescent="0.3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</sheetData>
  <mergeCells count="1">
    <mergeCell ref="B1:P1"/>
  </mergeCells>
  <pageMargins left="0.7" right="0.7" top="0.75" bottom="0.75" header="0.3" footer="0.3"/>
  <pageSetup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E587-498B-4A6D-ABD2-81A2AD9CCE19}">
  <sheetPr>
    <tabColor rgb="FF2E75B6"/>
    <pageSetUpPr autoPageBreaks="0"/>
  </sheetPr>
  <dimension ref="B1:P25"/>
  <sheetViews>
    <sheetView showGridLines="0" workbookViewId="0">
      <selection activeCell="S15" sqref="S15"/>
    </sheetView>
  </sheetViews>
  <sheetFormatPr defaultRowHeight="14.4" x14ac:dyDescent="0.3"/>
  <cols>
    <col min="1" max="1" width="2.88671875" style="1" customWidth="1"/>
    <col min="2" max="16" width="8.88671875" style="1"/>
    <col min="17" max="17" width="2.6640625" style="1" customWidth="1"/>
    <col min="18" max="16384" width="8.88671875" style="1"/>
  </cols>
  <sheetData>
    <row r="1" spans="2:16" s="7" customFormat="1" ht="30" customHeight="1" x14ac:dyDescent="0.3">
      <c r="B1" s="32" t="s">
        <v>231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</row>
    <row r="2" spans="2:16" x14ac:dyDescent="0.3"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2:16" x14ac:dyDescent="0.3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2:16" x14ac:dyDescent="0.3"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spans="2:16" x14ac:dyDescent="0.3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spans="2:16" x14ac:dyDescent="0.3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2:16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2:16" x14ac:dyDescent="0.3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2:16" x14ac:dyDescent="0.3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2:16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2:16" x14ac:dyDescent="0.3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2:16" x14ac:dyDescent="0.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2:16" x14ac:dyDescent="0.3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2:16" x14ac:dyDescent="0.3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2:16" x14ac:dyDescent="0.3"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2:16" x14ac:dyDescent="0.3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2:16" x14ac:dyDescent="0.3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2:16" x14ac:dyDescent="0.3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2:16" x14ac:dyDescent="0.3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2:16" x14ac:dyDescent="0.3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2:16" x14ac:dyDescent="0.3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2:16" x14ac:dyDescent="0.3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2:16" x14ac:dyDescent="0.3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2:16" x14ac:dyDescent="0.3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2:16" x14ac:dyDescent="0.3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</sheetData>
  <mergeCells count="1">
    <mergeCell ref="B1:P1"/>
  </mergeCells>
  <pageMargins left="0.7" right="0.7" top="0.75" bottom="0.75" header="0.3" footer="0.3"/>
  <pageSetup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E44C8-6C94-451D-A343-C0EBF0701EA8}">
  <dimension ref="A1:E2"/>
  <sheetViews>
    <sheetView workbookViewId="0">
      <selection activeCell="E3" sqref="E3"/>
    </sheetView>
  </sheetViews>
  <sheetFormatPr defaultRowHeight="14.4" x14ac:dyDescent="0.3"/>
  <cols>
    <col min="1" max="1" width="12.44140625" style="64" bestFit="1" customWidth="1"/>
    <col min="2" max="2" width="12.77734375" style="64" bestFit="1" customWidth="1"/>
    <col min="3" max="3" width="18.5546875" style="65" bestFit="1" customWidth="1"/>
    <col min="4" max="4" width="13.44140625" style="66" bestFit="1" customWidth="1"/>
    <col min="5" max="5" width="16.88671875" style="66" bestFit="1" customWidth="1"/>
  </cols>
  <sheetData>
    <row r="1" spans="1:5" x14ac:dyDescent="0.3">
      <c r="A1" s="64" t="s">
        <v>0</v>
      </c>
      <c r="B1" s="64" t="s">
        <v>1</v>
      </c>
      <c r="C1" s="65" t="s">
        <v>2</v>
      </c>
      <c r="D1" s="66" t="s">
        <v>3</v>
      </c>
      <c r="E1" s="66" t="s">
        <v>4</v>
      </c>
    </row>
    <row r="2" spans="1:5" x14ac:dyDescent="0.3">
      <c r="A2" s="64">
        <v>1580967.08</v>
      </c>
      <c r="B2" s="64">
        <v>196370.72</v>
      </c>
      <c r="C2" s="65">
        <v>12.42</v>
      </c>
      <c r="D2" s="66">
        <v>3388</v>
      </c>
      <c r="E2" s="66">
        <v>793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B89F-3A6B-4E2A-88BA-92E177FA5BFF}">
  <dimension ref="A1:H4"/>
  <sheetViews>
    <sheetView workbookViewId="0">
      <selection activeCell="E3" sqref="E3"/>
    </sheetView>
  </sheetViews>
  <sheetFormatPr defaultRowHeight="14.4" x14ac:dyDescent="0.3"/>
  <cols>
    <col min="1" max="1" width="6.88671875" style="66" bestFit="1" customWidth="1"/>
    <col min="2" max="2" width="13.33203125" style="64" bestFit="1" customWidth="1"/>
    <col min="3" max="3" width="14" style="64" bestFit="1" customWidth="1"/>
    <col min="4" max="4" width="20.33203125" style="68" bestFit="1" customWidth="1"/>
    <col min="5" max="5" width="18" style="67" bestFit="1" customWidth="1"/>
    <col min="8" max="8" width="19.21875" style="5" customWidth="1"/>
  </cols>
  <sheetData>
    <row r="1" spans="1:8" x14ac:dyDescent="0.3">
      <c r="A1" s="66" t="s">
        <v>5</v>
      </c>
      <c r="B1" s="64" t="s">
        <v>6</v>
      </c>
      <c r="C1" s="64" t="s">
        <v>7</v>
      </c>
      <c r="D1" s="68" t="s">
        <v>8</v>
      </c>
      <c r="E1" s="67" t="s">
        <v>9</v>
      </c>
      <c r="G1" s="62" t="s">
        <v>5</v>
      </c>
      <c r="H1" s="63" t="s">
        <v>9</v>
      </c>
    </row>
    <row r="2" spans="1:8" x14ac:dyDescent="0.3">
      <c r="A2" s="66">
        <v>2023</v>
      </c>
      <c r="B2" s="64">
        <v>494040.27</v>
      </c>
      <c r="C2" s="64">
        <v>51684.38</v>
      </c>
      <c r="D2" s="68" t="s">
        <v>10</v>
      </c>
      <c r="E2" s="67" t="s">
        <v>10</v>
      </c>
      <c r="G2" s="60">
        <v>2024</v>
      </c>
      <c r="H2" s="61">
        <v>-4.26</v>
      </c>
    </row>
    <row r="3" spans="1:8" x14ac:dyDescent="0.3">
      <c r="A3" s="66">
        <v>2024</v>
      </c>
      <c r="B3" s="64">
        <v>472992.98</v>
      </c>
      <c r="C3" s="64">
        <v>62021.03</v>
      </c>
      <c r="D3" s="64" t="s">
        <v>11</v>
      </c>
      <c r="E3" s="67" t="s">
        <v>12</v>
      </c>
      <c r="G3" s="60">
        <v>2025</v>
      </c>
      <c r="H3" s="61">
        <v>29.8</v>
      </c>
    </row>
    <row r="4" spans="1:8" x14ac:dyDescent="0.3">
      <c r="A4" s="66">
        <v>2025</v>
      </c>
      <c r="B4" s="64">
        <v>613933.82999999996</v>
      </c>
      <c r="C4" s="64">
        <v>82665.31</v>
      </c>
      <c r="D4" s="64" t="s">
        <v>13</v>
      </c>
      <c r="E4" s="67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90A-F4EA-4F71-8259-88D59154CC46}">
  <dimension ref="A1:G37"/>
  <sheetViews>
    <sheetView workbookViewId="0">
      <selection activeCell="E17" sqref="E17"/>
    </sheetView>
  </sheetViews>
  <sheetFormatPr defaultRowHeight="14.4" x14ac:dyDescent="0.3"/>
  <cols>
    <col min="1" max="1" width="6.88671875" bestFit="1" customWidth="1"/>
    <col min="2" max="2" width="14.6640625" bestFit="1" customWidth="1"/>
    <col min="3" max="3" width="21.109375" style="2" bestFit="1" customWidth="1"/>
    <col min="4" max="4" width="18.33203125" style="4" bestFit="1" customWidth="1"/>
    <col min="5" max="5" width="25.33203125" style="4" bestFit="1" customWidth="1"/>
    <col min="6" max="6" width="18" style="5" bestFit="1" customWidth="1"/>
    <col min="7" max="7" width="20.33203125" style="3" customWidth="1"/>
  </cols>
  <sheetData>
    <row r="1" spans="1:7" x14ac:dyDescent="0.3">
      <c r="A1" t="s">
        <v>5</v>
      </c>
      <c r="B1" t="s">
        <v>15</v>
      </c>
      <c r="C1" s="2" t="s">
        <v>16</v>
      </c>
      <c r="D1" s="4" t="s">
        <v>17</v>
      </c>
      <c r="E1" s="4" t="s">
        <v>18</v>
      </c>
      <c r="F1" s="5" t="s">
        <v>9</v>
      </c>
      <c r="G1" s="3" t="s">
        <v>226</v>
      </c>
    </row>
    <row r="2" spans="1:7" x14ac:dyDescent="0.3">
      <c r="A2">
        <v>2023</v>
      </c>
      <c r="B2" t="s">
        <v>19</v>
      </c>
      <c r="C2" s="2" t="s">
        <v>20</v>
      </c>
      <c r="D2" s="4">
        <v>14518.06</v>
      </c>
      <c r="E2" s="4" t="s">
        <v>10</v>
      </c>
      <c r="F2" s="5" t="s">
        <v>10</v>
      </c>
      <c r="G2" s="3">
        <v>44927</v>
      </c>
    </row>
    <row r="3" spans="1:7" x14ac:dyDescent="0.3">
      <c r="A3">
        <v>2023</v>
      </c>
      <c r="B3" t="s">
        <v>21</v>
      </c>
      <c r="C3" s="2" t="s">
        <v>22</v>
      </c>
      <c r="D3" s="4">
        <v>4519.92</v>
      </c>
      <c r="E3" s="4" t="s">
        <v>23</v>
      </c>
      <c r="F3" s="5" t="s">
        <v>24</v>
      </c>
      <c r="G3" s="3">
        <v>44958</v>
      </c>
    </row>
    <row r="4" spans="1:7" x14ac:dyDescent="0.3">
      <c r="A4">
        <v>2023</v>
      </c>
      <c r="B4" t="s">
        <v>25</v>
      </c>
      <c r="C4" s="2" t="s">
        <v>26</v>
      </c>
      <c r="D4" s="4">
        <v>56933.94</v>
      </c>
      <c r="E4" s="4" t="s">
        <v>27</v>
      </c>
      <c r="F4" s="5" t="s">
        <v>28</v>
      </c>
      <c r="G4" s="3">
        <v>44986</v>
      </c>
    </row>
    <row r="5" spans="1:7" x14ac:dyDescent="0.3">
      <c r="A5">
        <v>2023</v>
      </c>
      <c r="B5" t="s">
        <v>29</v>
      </c>
      <c r="C5" s="2" t="s">
        <v>30</v>
      </c>
      <c r="D5" s="4">
        <v>28295.35</v>
      </c>
      <c r="E5" s="4" t="s">
        <v>31</v>
      </c>
      <c r="F5" s="5" t="s">
        <v>32</v>
      </c>
      <c r="G5" s="3">
        <v>45017</v>
      </c>
    </row>
    <row r="6" spans="1:7" x14ac:dyDescent="0.3">
      <c r="A6">
        <v>2023</v>
      </c>
      <c r="B6" t="s">
        <v>33</v>
      </c>
      <c r="C6" s="2" t="s">
        <v>34</v>
      </c>
      <c r="D6" s="4">
        <v>26319.759999999998</v>
      </c>
      <c r="E6" s="4" t="s">
        <v>35</v>
      </c>
      <c r="F6" s="5" t="s">
        <v>36</v>
      </c>
      <c r="G6" s="3">
        <v>45047</v>
      </c>
    </row>
    <row r="7" spans="1:7" x14ac:dyDescent="0.3">
      <c r="A7">
        <v>2023</v>
      </c>
      <c r="B7" t="s">
        <v>37</v>
      </c>
      <c r="C7" s="2" t="s">
        <v>38</v>
      </c>
      <c r="D7" s="4">
        <v>34669.49</v>
      </c>
      <c r="E7" s="4" t="s">
        <v>39</v>
      </c>
      <c r="F7" s="5" t="s">
        <v>40</v>
      </c>
      <c r="G7" s="3">
        <v>45078</v>
      </c>
    </row>
    <row r="8" spans="1:7" x14ac:dyDescent="0.3">
      <c r="A8">
        <v>2023</v>
      </c>
      <c r="B8" t="s">
        <v>41</v>
      </c>
      <c r="C8" s="2" t="s">
        <v>42</v>
      </c>
      <c r="D8" s="4">
        <v>33946.370000000003</v>
      </c>
      <c r="E8" s="4" t="s">
        <v>43</v>
      </c>
      <c r="F8" s="5" t="s">
        <v>44</v>
      </c>
      <c r="G8" s="3">
        <v>45108</v>
      </c>
    </row>
    <row r="9" spans="1:7" x14ac:dyDescent="0.3">
      <c r="A9">
        <v>2023</v>
      </c>
      <c r="B9" t="s">
        <v>45</v>
      </c>
      <c r="C9" s="2" t="s">
        <v>46</v>
      </c>
      <c r="D9" s="4">
        <v>28918.34</v>
      </c>
      <c r="E9" s="4" t="s">
        <v>47</v>
      </c>
      <c r="F9" s="5" t="s">
        <v>48</v>
      </c>
      <c r="G9" s="3">
        <v>45139</v>
      </c>
    </row>
    <row r="10" spans="1:7" x14ac:dyDescent="0.3">
      <c r="A10">
        <v>2023</v>
      </c>
      <c r="B10" t="s">
        <v>49</v>
      </c>
      <c r="C10" s="2" t="s">
        <v>50</v>
      </c>
      <c r="D10" s="4">
        <v>82670.42</v>
      </c>
      <c r="E10" s="4" t="s">
        <v>51</v>
      </c>
      <c r="F10" s="5" t="s">
        <v>52</v>
      </c>
      <c r="G10" s="3">
        <v>45170</v>
      </c>
    </row>
    <row r="11" spans="1:7" x14ac:dyDescent="0.3">
      <c r="A11">
        <v>2023</v>
      </c>
      <c r="B11" t="s">
        <v>53</v>
      </c>
      <c r="C11" s="2" t="s">
        <v>54</v>
      </c>
      <c r="D11" s="4">
        <v>32413.32</v>
      </c>
      <c r="E11" s="4" t="s">
        <v>55</v>
      </c>
      <c r="F11" s="5" t="s">
        <v>56</v>
      </c>
      <c r="G11" s="3">
        <v>45200</v>
      </c>
    </row>
    <row r="12" spans="1:7" x14ac:dyDescent="0.3">
      <c r="A12">
        <v>2023</v>
      </c>
      <c r="B12" t="s">
        <v>57</v>
      </c>
      <c r="C12" s="2" t="s">
        <v>58</v>
      </c>
      <c r="D12" s="4">
        <v>78826.98</v>
      </c>
      <c r="E12" s="4" t="s">
        <v>59</v>
      </c>
      <c r="F12" s="5" t="s">
        <v>60</v>
      </c>
      <c r="G12" s="3">
        <v>45231</v>
      </c>
    </row>
    <row r="13" spans="1:7" x14ac:dyDescent="0.3">
      <c r="A13">
        <v>2023</v>
      </c>
      <c r="B13" t="s">
        <v>61</v>
      </c>
      <c r="C13" s="2" t="s">
        <v>62</v>
      </c>
      <c r="D13" s="4">
        <v>72008.320000000007</v>
      </c>
      <c r="E13" s="4" t="s">
        <v>63</v>
      </c>
      <c r="F13" s="5" t="s">
        <v>64</v>
      </c>
      <c r="G13" s="3">
        <v>45261</v>
      </c>
    </row>
    <row r="14" spans="1:7" x14ac:dyDescent="0.3">
      <c r="A14">
        <v>2024</v>
      </c>
      <c r="B14" t="s">
        <v>19</v>
      </c>
      <c r="C14" s="2" t="s">
        <v>65</v>
      </c>
      <c r="D14" s="4">
        <v>18461.919999999998</v>
      </c>
      <c r="E14" s="4" t="s">
        <v>66</v>
      </c>
      <c r="F14" s="5" t="s">
        <v>67</v>
      </c>
      <c r="G14" s="3">
        <v>45292</v>
      </c>
    </row>
    <row r="15" spans="1:7" x14ac:dyDescent="0.3">
      <c r="A15">
        <v>2024</v>
      </c>
      <c r="B15" t="s">
        <v>21</v>
      </c>
      <c r="C15" s="2" t="s">
        <v>68</v>
      </c>
      <c r="D15" s="4">
        <v>11951.4</v>
      </c>
      <c r="E15" s="4" t="s">
        <v>69</v>
      </c>
      <c r="F15" s="5" t="s">
        <v>70</v>
      </c>
      <c r="G15" s="3">
        <v>45323</v>
      </c>
    </row>
    <row r="16" spans="1:7" x14ac:dyDescent="0.3">
      <c r="A16">
        <v>2024</v>
      </c>
      <c r="B16" t="s">
        <v>25</v>
      </c>
      <c r="C16" s="2" t="s">
        <v>71</v>
      </c>
      <c r="D16" s="4">
        <v>39978.639999999999</v>
      </c>
      <c r="E16" s="4" t="s">
        <v>72</v>
      </c>
      <c r="F16" s="5" t="s">
        <v>73</v>
      </c>
      <c r="G16" s="3">
        <v>45352</v>
      </c>
    </row>
    <row r="17" spans="1:7" x14ac:dyDescent="0.3">
      <c r="A17">
        <v>2024</v>
      </c>
      <c r="B17" t="s">
        <v>29</v>
      </c>
      <c r="C17" s="2" t="s">
        <v>74</v>
      </c>
      <c r="D17" s="4">
        <v>34195.25</v>
      </c>
      <c r="E17" s="4" t="s">
        <v>75</v>
      </c>
      <c r="F17" s="5" t="s">
        <v>76</v>
      </c>
      <c r="G17" s="3">
        <v>45383</v>
      </c>
    </row>
    <row r="18" spans="1:7" x14ac:dyDescent="0.3">
      <c r="A18">
        <v>2024</v>
      </c>
      <c r="B18" t="s">
        <v>33</v>
      </c>
      <c r="C18" s="2" t="s">
        <v>77</v>
      </c>
      <c r="D18" s="4">
        <v>30246.98</v>
      </c>
      <c r="E18" s="4" t="s">
        <v>78</v>
      </c>
      <c r="F18" s="5" t="s">
        <v>79</v>
      </c>
      <c r="G18" s="3">
        <v>45413</v>
      </c>
    </row>
    <row r="19" spans="1:7" x14ac:dyDescent="0.3">
      <c r="A19">
        <v>2024</v>
      </c>
      <c r="B19" t="s">
        <v>37</v>
      </c>
      <c r="C19" s="2" t="s">
        <v>80</v>
      </c>
      <c r="D19" s="4">
        <v>24797.31</v>
      </c>
      <c r="E19" s="4" t="s">
        <v>81</v>
      </c>
      <c r="F19" s="5" t="s">
        <v>82</v>
      </c>
      <c r="G19" s="3">
        <v>45444</v>
      </c>
    </row>
    <row r="20" spans="1:7" x14ac:dyDescent="0.3">
      <c r="A20">
        <v>2024</v>
      </c>
      <c r="B20" t="s">
        <v>41</v>
      </c>
      <c r="C20" s="2" t="s">
        <v>83</v>
      </c>
      <c r="D20" s="4">
        <v>28765.32</v>
      </c>
      <c r="E20" s="4" t="s">
        <v>84</v>
      </c>
      <c r="F20" s="5" t="s">
        <v>85</v>
      </c>
      <c r="G20" s="3">
        <v>45474</v>
      </c>
    </row>
    <row r="21" spans="1:7" x14ac:dyDescent="0.3">
      <c r="A21">
        <v>2024</v>
      </c>
      <c r="B21" t="s">
        <v>45</v>
      </c>
      <c r="C21" s="2" t="s">
        <v>86</v>
      </c>
      <c r="D21" s="4">
        <v>37056.99</v>
      </c>
      <c r="E21" s="4" t="s">
        <v>87</v>
      </c>
      <c r="F21" s="5" t="s">
        <v>88</v>
      </c>
      <c r="G21" s="3">
        <v>45505</v>
      </c>
    </row>
    <row r="22" spans="1:7" x14ac:dyDescent="0.3">
      <c r="A22">
        <v>2024</v>
      </c>
      <c r="B22" t="s">
        <v>49</v>
      </c>
      <c r="C22" s="2" t="s">
        <v>89</v>
      </c>
      <c r="D22" s="4">
        <v>64627</v>
      </c>
      <c r="E22" s="4" t="s">
        <v>90</v>
      </c>
      <c r="F22" s="5" t="s">
        <v>91</v>
      </c>
      <c r="G22" s="3">
        <v>45536</v>
      </c>
    </row>
    <row r="23" spans="1:7" x14ac:dyDescent="0.3">
      <c r="A23">
        <v>2024</v>
      </c>
      <c r="B23" t="s">
        <v>53</v>
      </c>
      <c r="C23" s="2" t="s">
        <v>92</v>
      </c>
      <c r="D23" s="4">
        <v>31407.11</v>
      </c>
      <c r="E23" s="4" t="s">
        <v>93</v>
      </c>
      <c r="F23" s="5" t="s">
        <v>94</v>
      </c>
      <c r="G23" s="3">
        <v>45566</v>
      </c>
    </row>
    <row r="24" spans="1:7" x14ac:dyDescent="0.3">
      <c r="A24">
        <v>2024</v>
      </c>
      <c r="B24" t="s">
        <v>57</v>
      </c>
      <c r="C24" s="2" t="s">
        <v>95</v>
      </c>
      <c r="D24" s="4">
        <v>75972.509999999995</v>
      </c>
      <c r="E24" s="4" t="s">
        <v>96</v>
      </c>
      <c r="F24" s="5" t="s">
        <v>97</v>
      </c>
      <c r="G24" s="3">
        <v>45597</v>
      </c>
    </row>
    <row r="25" spans="1:7" x14ac:dyDescent="0.3">
      <c r="A25">
        <v>2024</v>
      </c>
      <c r="B25" t="s">
        <v>61</v>
      </c>
      <c r="C25" s="2" t="s">
        <v>98</v>
      </c>
      <c r="D25" s="4">
        <v>75532.55</v>
      </c>
      <c r="E25" s="4" t="s">
        <v>99</v>
      </c>
      <c r="F25" s="5" t="s">
        <v>100</v>
      </c>
      <c r="G25" s="3">
        <v>45627</v>
      </c>
    </row>
    <row r="26" spans="1:7" x14ac:dyDescent="0.3">
      <c r="A26">
        <v>2025</v>
      </c>
      <c r="B26" t="s">
        <v>19</v>
      </c>
      <c r="C26" s="2" t="s">
        <v>101</v>
      </c>
      <c r="D26" s="4">
        <v>18830.36</v>
      </c>
      <c r="E26" s="4" t="s">
        <v>102</v>
      </c>
      <c r="F26" s="5" t="s">
        <v>103</v>
      </c>
      <c r="G26" s="3">
        <v>45658</v>
      </c>
    </row>
    <row r="27" spans="1:7" x14ac:dyDescent="0.3">
      <c r="A27">
        <v>2025</v>
      </c>
      <c r="B27" t="s">
        <v>21</v>
      </c>
      <c r="C27" s="2" t="s">
        <v>104</v>
      </c>
      <c r="D27" s="4">
        <v>22978.82</v>
      </c>
      <c r="E27" s="4" t="s">
        <v>105</v>
      </c>
      <c r="F27" s="5" t="s">
        <v>106</v>
      </c>
      <c r="G27" s="3">
        <v>45689</v>
      </c>
    </row>
    <row r="28" spans="1:7" x14ac:dyDescent="0.3">
      <c r="A28">
        <v>2025</v>
      </c>
      <c r="B28" t="s">
        <v>25</v>
      </c>
      <c r="C28" s="2" t="s">
        <v>107</v>
      </c>
      <c r="D28" s="4">
        <v>53031.05</v>
      </c>
      <c r="E28" s="4" t="s">
        <v>108</v>
      </c>
      <c r="F28" s="5" t="s">
        <v>109</v>
      </c>
      <c r="G28" s="3">
        <v>45717</v>
      </c>
    </row>
    <row r="29" spans="1:7" x14ac:dyDescent="0.3">
      <c r="A29">
        <v>2025</v>
      </c>
      <c r="B29" t="s">
        <v>29</v>
      </c>
      <c r="C29" s="2" t="s">
        <v>110</v>
      </c>
      <c r="D29" s="4">
        <v>38829.160000000003</v>
      </c>
      <c r="E29" s="4" t="s">
        <v>111</v>
      </c>
      <c r="F29" s="5" t="s">
        <v>112</v>
      </c>
      <c r="G29" s="3">
        <v>45748</v>
      </c>
    </row>
    <row r="30" spans="1:7" x14ac:dyDescent="0.3">
      <c r="A30">
        <v>2025</v>
      </c>
      <c r="B30" t="s">
        <v>33</v>
      </c>
      <c r="C30" s="2" t="s">
        <v>113</v>
      </c>
      <c r="D30" s="4">
        <v>57042.86</v>
      </c>
      <c r="E30" s="4" t="s">
        <v>114</v>
      </c>
      <c r="F30" s="5" t="s">
        <v>115</v>
      </c>
      <c r="G30" s="3">
        <v>45778</v>
      </c>
    </row>
    <row r="31" spans="1:7" x14ac:dyDescent="0.3">
      <c r="A31">
        <v>2025</v>
      </c>
      <c r="B31" t="s">
        <v>37</v>
      </c>
      <c r="C31" s="2" t="s">
        <v>116</v>
      </c>
      <c r="D31" s="4">
        <v>40937.15</v>
      </c>
      <c r="E31" s="4" t="s">
        <v>117</v>
      </c>
      <c r="F31" s="5" t="s">
        <v>118</v>
      </c>
      <c r="G31" s="3">
        <v>45809</v>
      </c>
    </row>
    <row r="32" spans="1:7" x14ac:dyDescent="0.3">
      <c r="A32">
        <v>2025</v>
      </c>
      <c r="B32" t="s">
        <v>41</v>
      </c>
      <c r="C32" s="2" t="s">
        <v>119</v>
      </c>
      <c r="D32" s="4">
        <v>40300.53</v>
      </c>
      <c r="E32" s="4" t="s">
        <v>120</v>
      </c>
      <c r="F32" s="5" t="s">
        <v>121</v>
      </c>
      <c r="G32" s="3">
        <v>45839</v>
      </c>
    </row>
    <row r="33" spans="1:7" x14ac:dyDescent="0.3">
      <c r="A33">
        <v>2025</v>
      </c>
      <c r="B33" t="s">
        <v>45</v>
      </c>
      <c r="C33" s="2" t="s">
        <v>122</v>
      </c>
      <c r="D33" s="4">
        <v>31716.79</v>
      </c>
      <c r="E33" s="4" t="s">
        <v>123</v>
      </c>
      <c r="F33" s="5" t="s">
        <v>124</v>
      </c>
      <c r="G33" s="3">
        <v>45870</v>
      </c>
    </row>
    <row r="34" spans="1:7" x14ac:dyDescent="0.3">
      <c r="A34">
        <v>2025</v>
      </c>
      <c r="B34" t="s">
        <v>49</v>
      </c>
      <c r="C34" s="2" t="s">
        <v>125</v>
      </c>
      <c r="D34" s="4">
        <v>73521.73</v>
      </c>
      <c r="E34" s="4" t="s">
        <v>126</v>
      </c>
      <c r="F34" s="5" t="s">
        <v>127</v>
      </c>
      <c r="G34" s="3">
        <v>45901</v>
      </c>
    </row>
    <row r="35" spans="1:7" x14ac:dyDescent="0.3">
      <c r="A35">
        <v>2025</v>
      </c>
      <c r="B35" t="s">
        <v>53</v>
      </c>
      <c r="C35" s="2" t="s">
        <v>128</v>
      </c>
      <c r="D35" s="4">
        <v>59831.05</v>
      </c>
      <c r="E35" s="4" t="s">
        <v>129</v>
      </c>
      <c r="F35" s="5" t="s">
        <v>130</v>
      </c>
      <c r="G35" s="3">
        <v>45931</v>
      </c>
    </row>
    <row r="36" spans="1:7" x14ac:dyDescent="0.3">
      <c r="A36">
        <v>2025</v>
      </c>
      <c r="B36" t="s">
        <v>57</v>
      </c>
      <c r="C36" s="2" t="s">
        <v>131</v>
      </c>
      <c r="D36" s="4">
        <v>79412.03</v>
      </c>
      <c r="E36" s="4" t="s">
        <v>132</v>
      </c>
      <c r="F36" s="5" t="s">
        <v>133</v>
      </c>
      <c r="G36" s="3">
        <v>45962</v>
      </c>
    </row>
    <row r="37" spans="1:7" x14ac:dyDescent="0.3">
      <c r="A37">
        <v>2025</v>
      </c>
      <c r="B37" t="s">
        <v>61</v>
      </c>
      <c r="C37" s="2" t="s">
        <v>134</v>
      </c>
      <c r="D37" s="4">
        <v>97502.3</v>
      </c>
      <c r="E37" s="4" t="s">
        <v>135</v>
      </c>
      <c r="F37" s="5" t="s">
        <v>136</v>
      </c>
      <c r="G37" s="3">
        <v>45992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39678-2B1B-499E-9D20-DDDC620BACEF}">
  <dimension ref="A1:E5"/>
  <sheetViews>
    <sheetView workbookViewId="0">
      <selection activeCell="D13" sqref="D13"/>
    </sheetView>
  </sheetViews>
  <sheetFormatPr defaultRowHeight="14.4" x14ac:dyDescent="0.3"/>
  <cols>
    <col min="1" max="1" width="12.77734375" bestFit="1" customWidth="1"/>
    <col min="2" max="2" width="13.44140625" bestFit="1" customWidth="1"/>
    <col min="3" max="3" width="12.109375" style="4" bestFit="1" customWidth="1"/>
    <col min="4" max="4" width="12.77734375" style="4" bestFit="1" customWidth="1"/>
    <col min="5" max="5" width="18.44140625" bestFit="1" customWidth="1"/>
  </cols>
  <sheetData>
    <row r="1" spans="1:5" x14ac:dyDescent="0.3">
      <c r="A1" t="s">
        <v>215</v>
      </c>
      <c r="B1" t="s">
        <v>3</v>
      </c>
      <c r="C1" s="4" t="s">
        <v>0</v>
      </c>
      <c r="D1" s="4" t="s">
        <v>1</v>
      </c>
      <c r="E1" t="s">
        <v>216</v>
      </c>
    </row>
    <row r="2" spans="1:5" x14ac:dyDescent="0.3">
      <c r="A2" t="s">
        <v>217</v>
      </c>
      <c r="B2">
        <v>2052</v>
      </c>
      <c r="C2" s="4">
        <v>973042.89</v>
      </c>
      <c r="D2" s="4">
        <v>116981.86</v>
      </c>
      <c r="E2">
        <v>5</v>
      </c>
    </row>
    <row r="3" spans="1:5" x14ac:dyDescent="0.3">
      <c r="A3" t="s">
        <v>218</v>
      </c>
      <c r="B3">
        <v>652</v>
      </c>
      <c r="C3" s="4">
        <v>315961.46000000002</v>
      </c>
      <c r="D3" s="4">
        <v>37991.35</v>
      </c>
      <c r="E3">
        <v>3.2</v>
      </c>
    </row>
    <row r="4" spans="1:5" x14ac:dyDescent="0.3">
      <c r="A4" t="s">
        <v>219</v>
      </c>
      <c r="B4">
        <v>508</v>
      </c>
      <c r="C4" s="4">
        <v>211545.53</v>
      </c>
      <c r="D4" s="4">
        <v>28632.93</v>
      </c>
      <c r="E4">
        <v>2.2000000000000002</v>
      </c>
    </row>
    <row r="5" spans="1:5" x14ac:dyDescent="0.3">
      <c r="A5" t="s">
        <v>220</v>
      </c>
      <c r="B5">
        <v>176</v>
      </c>
      <c r="C5" s="4">
        <v>80417.2</v>
      </c>
      <c r="D5" s="4">
        <v>12764.58</v>
      </c>
      <c r="E5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00106-06B7-419B-B49D-3CFB146F71FD}">
  <dimension ref="A1:F5"/>
  <sheetViews>
    <sheetView workbookViewId="0">
      <selection activeCell="C12" sqref="C12"/>
    </sheetView>
  </sheetViews>
  <sheetFormatPr defaultRowHeight="14.4" x14ac:dyDescent="0.3"/>
  <cols>
    <col min="1" max="1" width="8.5546875" bestFit="1" customWidth="1"/>
    <col min="2" max="2" width="13.44140625" bestFit="1" customWidth="1"/>
    <col min="3" max="3" width="12.109375" style="4" bestFit="1" customWidth="1"/>
    <col min="4" max="4" width="12.77734375" style="4" bestFit="1" customWidth="1"/>
    <col min="5" max="5" width="18.5546875" style="5" bestFit="1" customWidth="1"/>
    <col min="6" max="6" width="17.44140625" style="4" bestFit="1" customWidth="1"/>
  </cols>
  <sheetData>
    <row r="1" spans="1:6" x14ac:dyDescent="0.3">
      <c r="A1" t="s">
        <v>137</v>
      </c>
      <c r="B1" t="s">
        <v>3</v>
      </c>
      <c r="C1" s="4" t="s">
        <v>0</v>
      </c>
      <c r="D1" s="4" t="s">
        <v>1</v>
      </c>
      <c r="E1" s="5" t="s">
        <v>2</v>
      </c>
      <c r="F1" s="4" t="s">
        <v>138</v>
      </c>
    </row>
    <row r="2" spans="1:6" x14ac:dyDescent="0.3">
      <c r="A2" t="s">
        <v>139</v>
      </c>
      <c r="B2">
        <v>1089</v>
      </c>
      <c r="C2" s="4">
        <v>481572.69</v>
      </c>
      <c r="D2" s="4">
        <v>65373.99</v>
      </c>
      <c r="E2" s="5">
        <v>13.58</v>
      </c>
      <c r="F2" s="4">
        <v>442.22</v>
      </c>
    </row>
    <row r="3" spans="1:6" x14ac:dyDescent="0.3">
      <c r="A3" t="s">
        <v>140</v>
      </c>
      <c r="B3">
        <v>979</v>
      </c>
      <c r="C3" s="4">
        <v>475261.18</v>
      </c>
      <c r="D3" s="4">
        <v>60802.86</v>
      </c>
      <c r="E3" s="5">
        <v>12.79</v>
      </c>
      <c r="F3" s="4">
        <v>485.46</v>
      </c>
    </row>
    <row r="4" spans="1:6" x14ac:dyDescent="0.3">
      <c r="A4" t="s">
        <v>141</v>
      </c>
      <c r="B4">
        <v>771</v>
      </c>
      <c r="C4" s="4">
        <v>355317.13</v>
      </c>
      <c r="D4" s="4">
        <v>32293.14</v>
      </c>
      <c r="E4" s="5">
        <v>9.09</v>
      </c>
      <c r="F4" s="4">
        <v>460.85</v>
      </c>
    </row>
    <row r="5" spans="1:6" x14ac:dyDescent="0.3">
      <c r="A5" t="s">
        <v>142</v>
      </c>
      <c r="B5">
        <v>549</v>
      </c>
      <c r="C5" s="4">
        <v>268816.08</v>
      </c>
      <c r="D5" s="4">
        <v>37900.730000000003</v>
      </c>
      <c r="E5" s="5">
        <v>14.1</v>
      </c>
      <c r="F5" s="4">
        <v>489.65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B6D7-A5B3-4FE1-89F6-9E1978C6E5F5}">
  <dimension ref="A1:F21"/>
  <sheetViews>
    <sheetView workbookViewId="0">
      <selection activeCell="H5" sqref="H5"/>
    </sheetView>
  </sheetViews>
  <sheetFormatPr defaultRowHeight="14.4" x14ac:dyDescent="0.3"/>
  <cols>
    <col min="1" max="1" width="16.21875" bestFit="1" customWidth="1"/>
    <col min="2" max="2" width="24.5546875" bestFit="1" customWidth="1"/>
    <col min="3" max="3" width="13.44140625" bestFit="1" customWidth="1"/>
    <col min="4" max="4" width="12.109375" style="4" bestFit="1" customWidth="1"/>
    <col min="5" max="5" width="12.77734375" style="4" bestFit="1" customWidth="1"/>
    <col min="6" max="6" width="7" bestFit="1" customWidth="1"/>
    <col min="7" max="7" width="13.33203125" customWidth="1"/>
    <col min="8" max="8" width="15.109375" customWidth="1"/>
  </cols>
  <sheetData>
    <row r="1" spans="1:6" x14ac:dyDescent="0.3">
      <c r="A1" t="s">
        <v>143</v>
      </c>
      <c r="B1" t="s">
        <v>144</v>
      </c>
      <c r="C1" t="s">
        <v>3</v>
      </c>
      <c r="D1" s="4" t="s">
        <v>0</v>
      </c>
      <c r="E1" s="4" t="s">
        <v>1</v>
      </c>
      <c r="F1" t="s">
        <v>145</v>
      </c>
    </row>
    <row r="2" spans="1:6" x14ac:dyDescent="0.3">
      <c r="A2" t="s">
        <v>146</v>
      </c>
      <c r="B2" t="s">
        <v>147</v>
      </c>
      <c r="C2">
        <v>13</v>
      </c>
      <c r="D2" s="4">
        <v>5409.96</v>
      </c>
      <c r="E2" s="4">
        <v>1509.04</v>
      </c>
      <c r="F2">
        <v>1</v>
      </c>
    </row>
    <row r="3" spans="1:6" x14ac:dyDescent="0.3">
      <c r="A3" t="s">
        <v>146</v>
      </c>
      <c r="B3" t="s">
        <v>148</v>
      </c>
      <c r="C3">
        <v>6</v>
      </c>
      <c r="D3" s="4">
        <v>4610.3100000000004</v>
      </c>
      <c r="E3" s="4">
        <v>624.84</v>
      </c>
      <c r="F3">
        <v>2</v>
      </c>
    </row>
    <row r="4" spans="1:6" x14ac:dyDescent="0.3">
      <c r="A4" t="s">
        <v>146</v>
      </c>
      <c r="B4" t="s">
        <v>149</v>
      </c>
      <c r="C4">
        <v>21</v>
      </c>
      <c r="D4" s="4">
        <v>2873.21</v>
      </c>
      <c r="E4" s="4">
        <v>827.82</v>
      </c>
      <c r="F4">
        <v>3</v>
      </c>
    </row>
    <row r="5" spans="1:6" x14ac:dyDescent="0.3">
      <c r="A5" t="s">
        <v>146</v>
      </c>
      <c r="B5" t="s">
        <v>150</v>
      </c>
      <c r="C5">
        <v>9</v>
      </c>
      <c r="D5" s="4">
        <v>1568.84</v>
      </c>
      <c r="E5" s="4">
        <v>119.68</v>
      </c>
      <c r="F5">
        <v>4</v>
      </c>
    </row>
    <row r="6" spans="1:6" x14ac:dyDescent="0.3">
      <c r="A6" t="s">
        <v>146</v>
      </c>
      <c r="B6" t="s">
        <v>151</v>
      </c>
      <c r="C6">
        <v>2</v>
      </c>
      <c r="D6" s="4">
        <v>1175.31</v>
      </c>
      <c r="E6" s="4">
        <v>137.6</v>
      </c>
      <c r="F6">
        <v>5</v>
      </c>
    </row>
    <row r="7" spans="1:6" x14ac:dyDescent="0.3">
      <c r="A7" t="s">
        <v>146</v>
      </c>
      <c r="B7" t="s">
        <v>152</v>
      </c>
      <c r="C7">
        <v>2</v>
      </c>
      <c r="D7" s="4">
        <v>543.95000000000005</v>
      </c>
      <c r="E7" s="4">
        <v>164.68</v>
      </c>
      <c r="F7">
        <v>6</v>
      </c>
    </row>
    <row r="8" spans="1:6" x14ac:dyDescent="0.3">
      <c r="A8" t="s">
        <v>146</v>
      </c>
      <c r="B8" t="s">
        <v>153</v>
      </c>
      <c r="C8">
        <v>3</v>
      </c>
      <c r="D8" s="4">
        <v>316.95999999999998</v>
      </c>
      <c r="E8" s="4">
        <v>115.83</v>
      </c>
      <c r="F8">
        <v>7</v>
      </c>
    </row>
    <row r="9" spans="1:6" x14ac:dyDescent="0.3">
      <c r="A9" t="s">
        <v>146</v>
      </c>
      <c r="B9" t="s">
        <v>154</v>
      </c>
      <c r="C9">
        <v>4</v>
      </c>
      <c r="D9" s="4">
        <v>249.43</v>
      </c>
      <c r="E9" s="4">
        <v>-51.16</v>
      </c>
      <c r="F9">
        <v>8</v>
      </c>
    </row>
    <row r="10" spans="1:6" x14ac:dyDescent="0.3">
      <c r="A10" t="s">
        <v>146</v>
      </c>
      <c r="B10" t="s">
        <v>155</v>
      </c>
      <c r="C10">
        <v>5</v>
      </c>
      <c r="D10" s="4">
        <v>169.26</v>
      </c>
      <c r="E10" s="4">
        <v>-55.62</v>
      </c>
      <c r="F10">
        <v>9</v>
      </c>
    </row>
    <row r="11" spans="1:6" x14ac:dyDescent="0.3">
      <c r="A11" t="s">
        <v>146</v>
      </c>
      <c r="B11" t="s">
        <v>156</v>
      </c>
      <c r="C11">
        <v>1</v>
      </c>
      <c r="D11" s="4">
        <v>63.97</v>
      </c>
      <c r="E11" s="4">
        <v>19.989999999999998</v>
      </c>
      <c r="F11">
        <v>10</v>
      </c>
    </row>
    <row r="12" spans="1:6" x14ac:dyDescent="0.3">
      <c r="A12" t="s">
        <v>157</v>
      </c>
      <c r="B12" t="s">
        <v>158</v>
      </c>
      <c r="C12">
        <v>677</v>
      </c>
      <c r="D12" s="4">
        <v>311299.34999999998</v>
      </c>
      <c r="E12" s="4">
        <v>47014.92</v>
      </c>
      <c r="F12">
        <v>1</v>
      </c>
    </row>
    <row r="13" spans="1:6" x14ac:dyDescent="0.3">
      <c r="A13" t="s">
        <v>157</v>
      </c>
      <c r="B13" t="s">
        <v>159</v>
      </c>
      <c r="C13">
        <v>388</v>
      </c>
      <c r="D13" s="4">
        <v>216953.22</v>
      </c>
      <c r="E13" s="4">
        <v>49681.59</v>
      </c>
      <c r="F13">
        <v>2</v>
      </c>
    </row>
    <row r="14" spans="1:6" x14ac:dyDescent="0.3">
      <c r="A14" t="s">
        <v>157</v>
      </c>
      <c r="B14" t="s">
        <v>160</v>
      </c>
      <c r="C14">
        <v>323</v>
      </c>
      <c r="D14" s="4">
        <v>126766.27</v>
      </c>
      <c r="E14" s="4">
        <v>-16890.810000000001</v>
      </c>
      <c r="F14">
        <v>3</v>
      </c>
    </row>
    <row r="15" spans="1:6" x14ac:dyDescent="0.3">
      <c r="A15" t="s">
        <v>157</v>
      </c>
      <c r="B15" t="s">
        <v>161</v>
      </c>
      <c r="C15">
        <v>189</v>
      </c>
      <c r="D15" s="4">
        <v>73823.649999999994</v>
      </c>
      <c r="E15" s="4">
        <v>-10447.200000000001</v>
      </c>
      <c r="F15">
        <v>4</v>
      </c>
    </row>
    <row r="16" spans="1:6" x14ac:dyDescent="0.3">
      <c r="A16" t="s">
        <v>157</v>
      </c>
      <c r="B16" t="s">
        <v>162</v>
      </c>
      <c r="C16">
        <v>160</v>
      </c>
      <c r="D16" s="4">
        <v>73101.36</v>
      </c>
      <c r="E16" s="4">
        <v>16145.84</v>
      </c>
      <c r="F16">
        <v>5</v>
      </c>
    </row>
    <row r="17" spans="1:6" x14ac:dyDescent="0.3">
      <c r="A17" t="s">
        <v>157</v>
      </c>
      <c r="B17" t="s">
        <v>163</v>
      </c>
      <c r="C17">
        <v>91</v>
      </c>
      <c r="D17" s="4">
        <v>63036.52</v>
      </c>
      <c r="E17" s="4">
        <v>16791.98</v>
      </c>
      <c r="F17">
        <v>6</v>
      </c>
    </row>
    <row r="18" spans="1:6" x14ac:dyDescent="0.3">
      <c r="A18" t="s">
        <v>157</v>
      </c>
      <c r="B18" t="s">
        <v>164</v>
      </c>
      <c r="C18">
        <v>130</v>
      </c>
      <c r="D18" s="4">
        <v>63029.01</v>
      </c>
      <c r="E18" s="4">
        <v>-3643.38</v>
      </c>
      <c r="F18">
        <v>7</v>
      </c>
    </row>
    <row r="19" spans="1:6" x14ac:dyDescent="0.3">
      <c r="A19" t="s">
        <v>157</v>
      </c>
      <c r="B19" t="s">
        <v>165</v>
      </c>
      <c r="C19">
        <v>176</v>
      </c>
      <c r="D19" s="4">
        <v>55814.559999999998</v>
      </c>
      <c r="E19" s="4">
        <v>-5862.34</v>
      </c>
      <c r="F19">
        <v>8</v>
      </c>
    </row>
    <row r="20" spans="1:6" x14ac:dyDescent="0.3">
      <c r="A20" t="s">
        <v>157</v>
      </c>
      <c r="B20" t="s">
        <v>166</v>
      </c>
      <c r="C20">
        <v>150</v>
      </c>
      <c r="D20" s="4">
        <v>54993.35</v>
      </c>
      <c r="E20" s="4">
        <v>-15234.85</v>
      </c>
      <c r="F20">
        <v>9</v>
      </c>
    </row>
    <row r="21" spans="1:6" x14ac:dyDescent="0.3">
      <c r="A21" t="s">
        <v>157</v>
      </c>
      <c r="B21" t="s">
        <v>167</v>
      </c>
      <c r="C21">
        <v>83</v>
      </c>
      <c r="D21" s="4">
        <v>50435.97</v>
      </c>
      <c r="E21" s="4">
        <v>15975.41</v>
      </c>
      <c r="F21">
        <v>10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3EABE-0916-448E-BF65-FEF6047F110B}">
  <dimension ref="A1:E12"/>
  <sheetViews>
    <sheetView workbookViewId="0">
      <selection activeCell="C16" sqref="C16"/>
    </sheetView>
  </sheetViews>
  <sheetFormatPr defaultRowHeight="14.4" x14ac:dyDescent="0.3"/>
  <cols>
    <col min="1" max="1" width="16.109375" customWidth="1"/>
    <col min="2" max="2" width="12.44140625" customWidth="1"/>
    <col min="3" max="3" width="22.44140625" style="4" customWidth="1"/>
    <col min="4" max="4" width="23.44140625" style="4" customWidth="1"/>
    <col min="5" max="5" width="22.21875" style="4" customWidth="1"/>
    <col min="6" max="6" width="15.21875" customWidth="1"/>
  </cols>
  <sheetData>
    <row r="1" spans="1:5" x14ac:dyDescent="0.3">
      <c r="A1" s="55" t="s">
        <v>235</v>
      </c>
      <c r="B1" s="56"/>
      <c r="C1" s="56"/>
      <c r="D1" s="56"/>
      <c r="E1" s="57"/>
    </row>
    <row r="2" spans="1:5" x14ac:dyDescent="0.3">
      <c r="A2" s="17" t="s">
        <v>229</v>
      </c>
      <c r="B2" s="10" t="s">
        <v>224</v>
      </c>
      <c r="C2" s="11" t="s">
        <v>222</v>
      </c>
      <c r="D2" s="11" t="s">
        <v>223</v>
      </c>
      <c r="E2" s="26" t="s">
        <v>230</v>
      </c>
    </row>
    <row r="3" spans="1:5" x14ac:dyDescent="0.3">
      <c r="A3" s="12" t="s">
        <v>168</v>
      </c>
      <c r="B3" s="8">
        <v>3</v>
      </c>
      <c r="C3" s="9">
        <v>24508.65</v>
      </c>
      <c r="D3" s="9">
        <v>-2015.03</v>
      </c>
      <c r="E3" s="27">
        <v>8169.55</v>
      </c>
    </row>
    <row r="4" spans="1:5" x14ac:dyDescent="0.3">
      <c r="A4" s="12" t="s">
        <v>169</v>
      </c>
      <c r="B4" s="8">
        <v>5</v>
      </c>
      <c r="C4" s="9">
        <v>19052.22</v>
      </c>
      <c r="D4" s="9">
        <v>8981.32</v>
      </c>
      <c r="E4" s="27">
        <v>3810.44</v>
      </c>
    </row>
    <row r="5" spans="1:5" x14ac:dyDescent="0.3">
      <c r="A5" s="12" t="s">
        <v>170</v>
      </c>
      <c r="B5" s="8">
        <v>8</v>
      </c>
      <c r="C5" s="9">
        <v>14129.64</v>
      </c>
      <c r="D5" s="9">
        <v>5751.58</v>
      </c>
      <c r="E5" s="27">
        <v>1766.21</v>
      </c>
    </row>
    <row r="6" spans="1:5" x14ac:dyDescent="0.3">
      <c r="A6" s="12" t="s">
        <v>171</v>
      </c>
      <c r="B6" s="8">
        <v>9</v>
      </c>
      <c r="C6" s="9">
        <v>13604.84</v>
      </c>
      <c r="D6" s="9">
        <v>645.12</v>
      </c>
      <c r="E6" s="27">
        <v>1511.65</v>
      </c>
    </row>
    <row r="7" spans="1:5" x14ac:dyDescent="0.3">
      <c r="A7" s="12" t="s">
        <v>172</v>
      </c>
      <c r="B7" s="8">
        <v>5</v>
      </c>
      <c r="C7" s="9">
        <v>12182.53</v>
      </c>
      <c r="D7" s="9">
        <v>5103.67</v>
      </c>
      <c r="E7" s="27">
        <v>2436.5100000000002</v>
      </c>
    </row>
    <row r="8" spans="1:5" x14ac:dyDescent="0.3">
      <c r="A8" s="12" t="s">
        <v>173</v>
      </c>
      <c r="B8" s="8">
        <v>3</v>
      </c>
      <c r="C8" s="9">
        <v>11901.19</v>
      </c>
      <c r="D8" s="9">
        <v>2083.34</v>
      </c>
      <c r="E8" s="27">
        <v>3967.06</v>
      </c>
    </row>
    <row r="9" spans="1:5" x14ac:dyDescent="0.3">
      <c r="A9" s="12" t="s">
        <v>174</v>
      </c>
      <c r="B9" s="8">
        <v>3</v>
      </c>
      <c r="C9" s="9">
        <v>11432.85</v>
      </c>
      <c r="D9" s="9">
        <v>-1759.87</v>
      </c>
      <c r="E9" s="27">
        <v>3810.95</v>
      </c>
    </row>
    <row r="10" spans="1:5" x14ac:dyDescent="0.3">
      <c r="A10" s="12" t="s">
        <v>175</v>
      </c>
      <c r="B10" s="8">
        <v>7</v>
      </c>
      <c r="C10" s="9">
        <v>10663.68</v>
      </c>
      <c r="D10" s="9">
        <v>2887.5</v>
      </c>
      <c r="E10" s="27">
        <v>1523.38</v>
      </c>
    </row>
    <row r="11" spans="1:5" x14ac:dyDescent="0.3">
      <c r="A11" s="12" t="s">
        <v>176</v>
      </c>
      <c r="B11" s="8">
        <v>7</v>
      </c>
      <c r="C11" s="9">
        <v>10623.28</v>
      </c>
      <c r="D11" s="9">
        <v>2079.8200000000002</v>
      </c>
      <c r="E11" s="27">
        <v>1517.61</v>
      </c>
    </row>
    <row r="12" spans="1:5" x14ac:dyDescent="0.3">
      <c r="A12" s="19" t="s">
        <v>177</v>
      </c>
      <c r="B12" s="20">
        <v>5</v>
      </c>
      <c r="C12" s="21">
        <v>10501.65</v>
      </c>
      <c r="D12" s="21">
        <v>2616.06</v>
      </c>
      <c r="E12" s="28">
        <v>2100.33</v>
      </c>
    </row>
  </sheetData>
  <mergeCells count="1">
    <mergeCell ref="A1:E1"/>
  </mergeCells>
  <conditionalFormatting sqref="C3:C12">
    <cfRule type="dataBar" priority="2">
      <dataBar>
        <cfvo type="min"/>
        <cfvo type="max"/>
        <color rgb="FFFAD9B0"/>
      </dataBar>
      <extLst>
        <ext xmlns:x14="http://schemas.microsoft.com/office/spreadsheetml/2009/9/main" uri="{B025F937-C7B1-47D3-B67F-A62EFF666E3E}">
          <x14:id>{2D43CD55-1AED-445F-AAD0-476F45046473}</x14:id>
        </ext>
      </extLst>
    </cfRule>
  </conditionalFormatting>
  <conditionalFormatting sqref="C26:C1048576 C2:C1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{7087D489-4F3E-4DB2-B141-05E167F2947E}</x14:id>
        </ext>
      </extLst>
    </cfRule>
  </conditionalFormatting>
  <conditionalFormatting sqref="D3:D12">
    <cfRule type="dataBar" priority="3">
      <dataBar>
        <cfvo type="min"/>
        <cfvo type="max"/>
        <color rgb="FFFAD9B0"/>
      </dataBar>
      <extLst>
        <ext xmlns:x14="http://schemas.microsoft.com/office/spreadsheetml/2009/9/main" uri="{B025F937-C7B1-47D3-B67F-A62EFF666E3E}">
          <x14:id>{9A54BC52-BFB5-4797-A5DC-274AF7982CC3}</x14:id>
        </ext>
      </extLst>
    </cfRule>
  </conditionalFormatting>
  <conditionalFormatting sqref="E3:E12">
    <cfRule type="dataBar" priority="1">
      <dataBar>
        <cfvo type="min"/>
        <cfvo type="max"/>
        <color rgb="FFFAD9B0"/>
      </dataBar>
      <extLst>
        <ext xmlns:x14="http://schemas.microsoft.com/office/spreadsheetml/2009/9/main" uri="{B025F937-C7B1-47D3-B67F-A62EFF666E3E}">
          <x14:id>{485AB444-599C-4586-812B-A5C904A01E9E}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43CD55-1AED-445F-AAD0-476F45046473}">
            <x14:dataBar minLength="0" maxLength="100" border="1" negativeBarBorderColorSameAsPositive="0">
              <x14:cfvo type="autoMin"/>
              <x14:cfvo type="autoMax"/>
              <x14:borderColor rgb="FFFFC000"/>
              <x14:negativeFillColor rgb="FFFF0000"/>
              <x14:negativeBorderColor rgb="FFFF0000"/>
              <x14:axisColor rgb="FF000000"/>
            </x14:dataBar>
          </x14:cfRule>
          <xm:sqref>C3:C12</xm:sqref>
        </x14:conditionalFormatting>
        <x14:conditionalFormatting xmlns:xm="http://schemas.microsoft.com/office/excel/2006/main">
          <x14:cfRule type="dataBar" id="{7087D489-4F3E-4DB2-B141-05E167F2947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C26:C1048576 C2:C13</xm:sqref>
        </x14:conditionalFormatting>
        <x14:conditionalFormatting xmlns:xm="http://schemas.microsoft.com/office/excel/2006/main">
          <x14:cfRule type="dataBar" id="{9A54BC52-BFB5-4797-A5DC-274AF7982CC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7575"/>
              <x14:negativeBorderColor rgb="FFFF0000"/>
              <x14:axisColor rgb="FF000000"/>
            </x14:dataBar>
          </x14:cfRule>
          <xm:sqref>D3:D12</xm:sqref>
        </x14:conditionalFormatting>
        <x14:conditionalFormatting xmlns:xm="http://schemas.microsoft.com/office/excel/2006/main">
          <x14:cfRule type="dataBar" id="{485AB444-599C-4586-812B-A5C904A01E9E}">
            <x14:dataBar minLength="0" maxLength="100" border="1" negativeBarBorderColorSameAsPositive="0">
              <x14:cfvo type="autoMin"/>
              <x14:cfvo type="autoMax"/>
              <x14:borderColor rgb="FFFFC000"/>
              <x14:negativeFillColor rgb="FFFF0000"/>
              <x14:negativeBorderColor rgb="FFFF0000"/>
              <x14:axisColor rgb="FF000000"/>
            </x14:dataBar>
          </x14:cfRule>
          <xm:sqref>E3:E12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7F12-9AB1-4356-91BE-3153EC6CB700}">
  <dimension ref="A1:G4"/>
  <sheetViews>
    <sheetView workbookViewId="0">
      <selection activeCell="D11" sqref="D11"/>
    </sheetView>
  </sheetViews>
  <sheetFormatPr defaultRowHeight="14.4" x14ac:dyDescent="0.3"/>
  <cols>
    <col min="1" max="1" width="11.33203125" bestFit="1" customWidth="1"/>
    <col min="2" max="2" width="16.88671875" bestFit="1" customWidth="1"/>
    <col min="3" max="3" width="13.44140625" bestFit="1" customWidth="1"/>
    <col min="4" max="4" width="12.109375" style="4" bestFit="1" customWidth="1"/>
    <col min="5" max="5" width="12.77734375" style="4" bestFit="1" customWidth="1"/>
    <col min="6" max="6" width="18.5546875" style="5" bestFit="1" customWidth="1"/>
    <col min="7" max="7" width="17.44140625" style="4" bestFit="1" customWidth="1"/>
  </cols>
  <sheetData>
    <row r="1" spans="1:7" x14ac:dyDescent="0.3">
      <c r="A1" t="s">
        <v>211</v>
      </c>
      <c r="B1" t="s">
        <v>4</v>
      </c>
      <c r="C1" t="s">
        <v>3</v>
      </c>
      <c r="D1" s="4" t="s">
        <v>0</v>
      </c>
      <c r="E1" s="4" t="s">
        <v>1</v>
      </c>
      <c r="F1" s="5" t="s">
        <v>2</v>
      </c>
      <c r="G1" s="4" t="s">
        <v>138</v>
      </c>
    </row>
    <row r="2" spans="1:7" x14ac:dyDescent="0.3">
      <c r="A2" t="s">
        <v>212</v>
      </c>
      <c r="B2">
        <v>409</v>
      </c>
      <c r="C2">
        <v>1738</v>
      </c>
      <c r="D2" s="4">
        <v>835747.94</v>
      </c>
      <c r="E2" s="4">
        <v>90101.14</v>
      </c>
      <c r="F2" s="5">
        <v>10.78</v>
      </c>
      <c r="G2" s="4">
        <v>480.87</v>
      </c>
    </row>
    <row r="3" spans="1:7" x14ac:dyDescent="0.3">
      <c r="A3" t="s">
        <v>213</v>
      </c>
      <c r="B3">
        <v>236</v>
      </c>
      <c r="C3">
        <v>1044</v>
      </c>
      <c r="D3" s="4">
        <v>467562.07</v>
      </c>
      <c r="E3" s="4">
        <v>65842.48</v>
      </c>
      <c r="F3" s="5">
        <v>14.08</v>
      </c>
      <c r="G3" s="4">
        <v>447.86</v>
      </c>
    </row>
    <row r="4" spans="1:7" x14ac:dyDescent="0.3">
      <c r="A4" t="s">
        <v>214</v>
      </c>
      <c r="B4">
        <v>148</v>
      </c>
      <c r="C4">
        <v>606</v>
      </c>
      <c r="D4" s="4">
        <v>277657.07</v>
      </c>
      <c r="E4" s="4">
        <v>40427.1</v>
      </c>
      <c r="F4" s="5">
        <v>14.56</v>
      </c>
      <c r="G4" s="4">
        <v>458.18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C6A65-8EED-4E3B-96B0-C6597DC7B574}">
  <dimension ref="A1:D4"/>
  <sheetViews>
    <sheetView workbookViewId="0">
      <selection activeCell="G9" sqref="G9"/>
    </sheetView>
  </sheetViews>
  <sheetFormatPr defaultRowHeight="14.4" x14ac:dyDescent="0.3"/>
  <cols>
    <col min="1" max="1" width="13.109375" bestFit="1" customWidth="1"/>
    <col min="2" max="2" width="12.109375" style="4" bestFit="1" customWidth="1"/>
    <col min="3" max="3" width="12.77734375" style="4" bestFit="1" customWidth="1"/>
    <col min="4" max="4" width="18.5546875" style="5" bestFit="1" customWidth="1"/>
  </cols>
  <sheetData>
    <row r="1" spans="1:4" x14ac:dyDescent="0.3">
      <c r="A1" t="s">
        <v>178</v>
      </c>
      <c r="B1" s="4" t="s">
        <v>0</v>
      </c>
      <c r="C1" s="4" t="s">
        <v>1</v>
      </c>
      <c r="D1" s="5" t="s">
        <v>2</v>
      </c>
    </row>
    <row r="2" spans="1:4" x14ac:dyDescent="0.3">
      <c r="A2" t="s">
        <v>179</v>
      </c>
      <c r="B2" s="4">
        <v>567474.17000000004</v>
      </c>
      <c r="C2" s="4">
        <v>95709.62</v>
      </c>
      <c r="D2" s="5">
        <v>16.87</v>
      </c>
    </row>
    <row r="3" spans="1:4" x14ac:dyDescent="0.3">
      <c r="A3" t="s">
        <v>180</v>
      </c>
      <c r="B3" s="4">
        <v>535435.01</v>
      </c>
      <c r="C3" s="4">
        <v>16380.66</v>
      </c>
      <c r="D3" s="5">
        <v>3.06</v>
      </c>
    </row>
    <row r="4" spans="1:4" x14ac:dyDescent="0.3">
      <c r="A4" t="s">
        <v>181</v>
      </c>
      <c r="B4" s="4">
        <v>478057.9</v>
      </c>
      <c r="C4" s="4">
        <v>84280.44</v>
      </c>
      <c r="D4" s="5">
        <v>17.63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F0D7-BC03-4CC5-BB2B-EDD77E0AF9D4}">
  <dimension ref="A1:I25"/>
  <sheetViews>
    <sheetView zoomScaleNormal="100" workbookViewId="0">
      <selection activeCell="G12" sqref="G12"/>
    </sheetView>
  </sheetViews>
  <sheetFormatPr defaultRowHeight="14.4" x14ac:dyDescent="0.3"/>
  <cols>
    <col min="1" max="1" width="22.109375" customWidth="1"/>
    <col min="2" max="2" width="23.21875" customWidth="1"/>
    <col min="3" max="3" width="22.6640625" customWidth="1"/>
    <col min="4" max="4" width="12.77734375" bestFit="1" customWidth="1"/>
    <col min="5" max="5" width="7" bestFit="1" customWidth="1"/>
    <col min="6" max="6" width="11.44140625" customWidth="1"/>
    <col min="7" max="7" width="14" customWidth="1"/>
    <col min="8" max="8" width="9.33203125" customWidth="1"/>
    <col min="9" max="9" width="8.88671875" customWidth="1"/>
    <col min="10" max="10" width="9" bestFit="1" customWidth="1"/>
    <col min="11" max="11" width="10" bestFit="1" customWidth="1"/>
    <col min="12" max="12" width="9.77734375" bestFit="1" customWidth="1"/>
    <col min="13" max="13" width="10" bestFit="1" customWidth="1"/>
    <col min="14" max="14" width="9" bestFit="1" customWidth="1"/>
    <col min="15" max="15" width="9.5546875" bestFit="1" customWidth="1"/>
    <col min="17" max="17" width="10.44140625" bestFit="1" customWidth="1"/>
    <col min="18" max="18" width="8" bestFit="1" customWidth="1"/>
    <col min="19" max="19" width="9.109375" bestFit="1" customWidth="1"/>
    <col min="20" max="20" width="9" bestFit="1" customWidth="1"/>
    <col min="21" max="22" width="10" bestFit="1" customWidth="1"/>
    <col min="23" max="23" width="9" bestFit="1" customWidth="1"/>
    <col min="24" max="24" width="10" bestFit="1" customWidth="1"/>
    <col min="25" max="25" width="7" bestFit="1" customWidth="1"/>
    <col min="26" max="26" width="11" bestFit="1" customWidth="1"/>
  </cols>
  <sheetData>
    <row r="1" spans="1:9" x14ac:dyDescent="0.3">
      <c r="A1" t="s">
        <v>178</v>
      </c>
      <c r="B1" t="s">
        <v>182</v>
      </c>
      <c r="C1" s="4" t="s">
        <v>0</v>
      </c>
      <c r="D1" t="s">
        <v>1</v>
      </c>
      <c r="E1" t="s">
        <v>145</v>
      </c>
    </row>
    <row r="2" spans="1:9" x14ac:dyDescent="0.3">
      <c r="A2" t="s">
        <v>180</v>
      </c>
      <c r="B2" t="s">
        <v>183</v>
      </c>
      <c r="C2" s="4">
        <v>237735.92</v>
      </c>
      <c r="D2" s="4">
        <v>19435.419999999998</v>
      </c>
      <c r="E2">
        <v>1</v>
      </c>
    </row>
    <row r="3" spans="1:9" x14ac:dyDescent="0.3">
      <c r="A3" t="s">
        <v>180</v>
      </c>
      <c r="B3" t="s">
        <v>184</v>
      </c>
      <c r="C3" s="4">
        <v>147021.09</v>
      </c>
      <c r="D3" s="4">
        <v>-9661.0300000000007</v>
      </c>
      <c r="E3">
        <v>2</v>
      </c>
    </row>
    <row r="4" spans="1:9" x14ac:dyDescent="0.3">
      <c r="A4" t="s">
        <v>180</v>
      </c>
      <c r="B4" t="s">
        <v>185</v>
      </c>
      <c r="C4" s="4">
        <v>85007.17</v>
      </c>
      <c r="D4" s="4">
        <v>-2973.88</v>
      </c>
      <c r="E4">
        <v>3</v>
      </c>
    </row>
    <row r="5" spans="1:9" x14ac:dyDescent="0.3">
      <c r="A5" t="s">
        <v>180</v>
      </c>
      <c r="B5" t="s">
        <v>186</v>
      </c>
      <c r="C5" s="4">
        <v>65670.83</v>
      </c>
      <c r="D5" s="4">
        <v>9580.15</v>
      </c>
      <c r="E5">
        <v>4</v>
      </c>
    </row>
    <row r="6" spans="1:9" x14ac:dyDescent="0.3">
      <c r="A6" t="s">
        <v>181</v>
      </c>
      <c r="B6" t="s">
        <v>187</v>
      </c>
      <c r="C6" s="4">
        <v>154370.75</v>
      </c>
      <c r="D6" s="4">
        <v>13921.85</v>
      </c>
      <c r="E6">
        <v>1</v>
      </c>
    </row>
    <row r="7" spans="1:9" x14ac:dyDescent="0.3">
      <c r="A7" t="s">
        <v>181</v>
      </c>
      <c r="B7" t="s">
        <v>188</v>
      </c>
      <c r="C7" s="4">
        <v>133703.60999999999</v>
      </c>
      <c r="D7" s="4">
        <v>23485.07</v>
      </c>
      <c r="E7">
        <v>2</v>
      </c>
    </row>
    <row r="8" spans="1:9" x14ac:dyDescent="0.3">
      <c r="A8" t="s">
        <v>181</v>
      </c>
      <c r="B8" t="s">
        <v>189</v>
      </c>
      <c r="C8" s="4">
        <v>65102.05</v>
      </c>
      <c r="D8" s="4">
        <v>10414.56</v>
      </c>
      <c r="E8">
        <v>3</v>
      </c>
      <c r="G8" s="22"/>
      <c r="H8" s="22"/>
      <c r="I8" s="22"/>
    </row>
    <row r="9" spans="1:9" x14ac:dyDescent="0.3">
      <c r="A9" t="s">
        <v>181</v>
      </c>
      <c r="B9" t="s">
        <v>190</v>
      </c>
      <c r="C9" s="4">
        <v>51367.08</v>
      </c>
      <c r="D9" s="4">
        <v>22257.3</v>
      </c>
      <c r="E9">
        <v>4</v>
      </c>
      <c r="F9" s="18"/>
    </row>
    <row r="10" spans="1:9" x14ac:dyDescent="0.3">
      <c r="A10" t="s">
        <v>181</v>
      </c>
      <c r="B10" t="s">
        <v>191</v>
      </c>
      <c r="C10" s="4">
        <v>30649.83</v>
      </c>
      <c r="D10" s="4">
        <v>-227.02</v>
      </c>
      <c r="E10">
        <v>5</v>
      </c>
      <c r="F10" s="18"/>
    </row>
    <row r="11" spans="1:9" x14ac:dyDescent="0.3">
      <c r="A11" t="s">
        <v>181</v>
      </c>
      <c r="B11" t="s">
        <v>192</v>
      </c>
      <c r="C11" s="4">
        <v>18636.32</v>
      </c>
      <c r="D11" s="4">
        <v>4382.51</v>
      </c>
      <c r="E11">
        <v>6</v>
      </c>
      <c r="F11" s="18"/>
    </row>
    <row r="12" spans="1:9" x14ac:dyDescent="0.3">
      <c r="A12" t="s">
        <v>181</v>
      </c>
      <c r="B12" t="s">
        <v>193</v>
      </c>
      <c r="C12" s="4">
        <v>13149.75</v>
      </c>
      <c r="D12" s="4">
        <v>5546.21</v>
      </c>
      <c r="E12">
        <v>7</v>
      </c>
      <c r="F12" s="18"/>
    </row>
    <row r="13" spans="1:9" x14ac:dyDescent="0.3">
      <c r="A13" t="s">
        <v>181</v>
      </c>
      <c r="B13" t="s">
        <v>194</v>
      </c>
      <c r="C13" s="4">
        <v>8708.01</v>
      </c>
      <c r="D13" s="4">
        <v>3770.2</v>
      </c>
      <c r="E13">
        <v>8</v>
      </c>
    </row>
    <row r="14" spans="1:9" x14ac:dyDescent="0.3">
      <c r="A14" t="s">
        <v>181</v>
      </c>
      <c r="B14" t="s">
        <v>195</v>
      </c>
      <c r="C14" s="4">
        <v>2370.5</v>
      </c>
      <c r="D14" s="4">
        <v>729.76</v>
      </c>
      <c r="E14">
        <v>9</v>
      </c>
    </row>
    <row r="15" spans="1:9" x14ac:dyDescent="0.3">
      <c r="A15" t="s">
        <v>179</v>
      </c>
      <c r="B15" t="s">
        <v>196</v>
      </c>
      <c r="C15" s="4">
        <v>226174.24</v>
      </c>
      <c r="D15" s="4">
        <v>32098.66</v>
      </c>
      <c r="E15">
        <v>1</v>
      </c>
    </row>
    <row r="16" spans="1:9" x14ac:dyDescent="0.3">
      <c r="A16" t="s">
        <v>179</v>
      </c>
      <c r="B16" t="s">
        <v>197</v>
      </c>
      <c r="C16" s="4">
        <v>146037.20000000001</v>
      </c>
      <c r="D16" s="4">
        <v>6292.55</v>
      </c>
      <c r="E16">
        <v>2</v>
      </c>
    </row>
    <row r="17" spans="1:5" x14ac:dyDescent="0.3">
      <c r="A17" t="s">
        <v>179</v>
      </c>
      <c r="B17" t="s">
        <v>198</v>
      </c>
      <c r="C17" s="4">
        <v>107434.1</v>
      </c>
      <c r="D17" s="4">
        <v>26264.32</v>
      </c>
      <c r="E17">
        <v>3</v>
      </c>
    </row>
    <row r="18" spans="1:5" x14ac:dyDescent="0.3">
      <c r="A18" t="s">
        <v>179</v>
      </c>
      <c r="B18" t="s">
        <v>199</v>
      </c>
      <c r="C18" s="4">
        <v>87828.63</v>
      </c>
      <c r="D18" s="4">
        <v>31054.09</v>
      </c>
      <c r="E18">
        <v>4</v>
      </c>
    </row>
    <row r="20" spans="1:5" x14ac:dyDescent="0.3">
      <c r="A20" s="55" t="s">
        <v>232</v>
      </c>
      <c r="B20" s="58"/>
      <c r="C20" s="59"/>
    </row>
    <row r="21" spans="1:5" ht="25.95" customHeight="1" x14ac:dyDescent="0.3">
      <c r="A21" s="24" t="s">
        <v>236</v>
      </c>
      <c r="B21" s="15" t="s">
        <v>234</v>
      </c>
      <c r="C21" s="16" t="s">
        <v>233</v>
      </c>
    </row>
    <row r="22" spans="1:5" ht="22.05" customHeight="1" x14ac:dyDescent="0.3">
      <c r="A22" s="13" t="s">
        <v>184</v>
      </c>
      <c r="B22" s="29">
        <v>147021.09</v>
      </c>
      <c r="C22" s="29">
        <v>-9661.0300000000007</v>
      </c>
    </row>
    <row r="23" spans="1:5" ht="22.05" customHeight="1" x14ac:dyDescent="0.3">
      <c r="A23" s="14" t="s">
        <v>185</v>
      </c>
      <c r="B23" s="30">
        <v>85007.17</v>
      </c>
      <c r="C23" s="30">
        <v>-2973.88</v>
      </c>
    </row>
    <row r="24" spans="1:5" ht="22.05" customHeight="1" x14ac:dyDescent="0.3">
      <c r="A24" s="23" t="s">
        <v>191</v>
      </c>
      <c r="B24" s="31">
        <v>30649.83</v>
      </c>
      <c r="C24" s="31">
        <v>-227.02</v>
      </c>
    </row>
    <row r="25" spans="1:5" x14ac:dyDescent="0.3">
      <c r="A25" s="25"/>
    </row>
  </sheetData>
  <mergeCells count="1">
    <mergeCell ref="A20:C20"/>
  </mergeCells>
  <conditionalFormatting sqref="B21:B24">
    <cfRule type="colorScale" priority="2">
      <colorScale>
        <cfvo type="min"/>
        <cfvo type="max"/>
        <color theme="9" tint="0.79998168889431442"/>
        <color rgb="FF63BE7B"/>
      </colorScale>
    </cfRule>
  </conditionalFormatting>
  <conditionalFormatting sqref="C21:C24">
    <cfRule type="colorScale" priority="1">
      <colorScale>
        <cfvo type="min"/>
        <cfvo type="max"/>
        <color rgb="FFE37F25"/>
        <color rgb="FFF4B05E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0129C-FD72-4600-9945-846DCBAA2724}">
  <dimension ref="A1:F8"/>
  <sheetViews>
    <sheetView workbookViewId="0">
      <selection activeCell="G5" sqref="G5"/>
    </sheetView>
  </sheetViews>
  <sheetFormatPr defaultRowHeight="14.4" x14ac:dyDescent="0.3"/>
  <cols>
    <col min="1" max="1" width="15.88671875" bestFit="1" customWidth="1"/>
    <col min="2" max="2" width="12" bestFit="1" customWidth="1"/>
    <col min="3" max="3" width="12.109375" bestFit="1" customWidth="1"/>
    <col min="4" max="4" width="12.109375" style="4" bestFit="1" customWidth="1"/>
    <col min="5" max="5" width="12.77734375" style="4" bestFit="1" customWidth="1"/>
    <col min="6" max="6" width="15.6640625" style="4" bestFit="1" customWidth="1"/>
  </cols>
  <sheetData>
    <row r="1" spans="1:6" x14ac:dyDescent="0.3">
      <c r="A1" t="s">
        <v>200</v>
      </c>
      <c r="B1" t="s">
        <v>201</v>
      </c>
      <c r="C1" t="s">
        <v>202</v>
      </c>
      <c r="D1" s="4" t="s">
        <v>0</v>
      </c>
      <c r="E1" s="4" t="s">
        <v>1</v>
      </c>
      <c r="F1" s="4" t="s">
        <v>203</v>
      </c>
    </row>
    <row r="2" spans="1:6" x14ac:dyDescent="0.3">
      <c r="A2" t="s">
        <v>204</v>
      </c>
      <c r="B2">
        <v>0</v>
      </c>
      <c r="C2">
        <v>3296</v>
      </c>
      <c r="D2" s="4">
        <v>748350.61</v>
      </c>
      <c r="E2" s="4">
        <v>220093.62</v>
      </c>
      <c r="F2" s="4">
        <v>66.78</v>
      </c>
    </row>
    <row r="3" spans="1:6" x14ac:dyDescent="0.3">
      <c r="A3" t="s">
        <v>205</v>
      </c>
      <c r="B3">
        <v>0.1</v>
      </c>
      <c r="C3">
        <v>67</v>
      </c>
      <c r="D3" s="4">
        <v>35773.730000000003</v>
      </c>
      <c r="E3" s="4">
        <v>5796.95</v>
      </c>
      <c r="F3" s="4">
        <v>86.52</v>
      </c>
    </row>
    <row r="4" spans="1:6" x14ac:dyDescent="0.3">
      <c r="A4" t="s">
        <v>206</v>
      </c>
      <c r="B4">
        <v>0.15</v>
      </c>
      <c r="C4">
        <v>2500</v>
      </c>
      <c r="D4" s="4">
        <v>540200.64</v>
      </c>
      <c r="E4" s="4">
        <v>58682.01</v>
      </c>
      <c r="F4" s="4">
        <v>23.47</v>
      </c>
    </row>
    <row r="5" spans="1:6" x14ac:dyDescent="0.3">
      <c r="A5" t="s">
        <v>207</v>
      </c>
      <c r="B5">
        <v>0.3</v>
      </c>
      <c r="C5">
        <v>161</v>
      </c>
      <c r="D5" s="4">
        <v>72640.69</v>
      </c>
      <c r="E5" s="4">
        <v>-6593.25</v>
      </c>
      <c r="F5" s="4">
        <v>-40.950000000000003</v>
      </c>
    </row>
    <row r="6" spans="1:6" x14ac:dyDescent="0.3">
      <c r="A6" t="s">
        <v>208</v>
      </c>
      <c r="B6">
        <v>0.32</v>
      </c>
      <c r="C6">
        <v>154</v>
      </c>
      <c r="D6" s="4">
        <v>93174.080000000002</v>
      </c>
      <c r="E6" s="4">
        <v>-17152.16</v>
      </c>
      <c r="F6" s="4">
        <v>-111.38</v>
      </c>
    </row>
    <row r="7" spans="1:6" x14ac:dyDescent="0.3">
      <c r="A7" t="s">
        <v>209</v>
      </c>
      <c r="B7">
        <v>0.45</v>
      </c>
      <c r="C7">
        <v>54</v>
      </c>
      <c r="D7" s="4">
        <v>48092.54</v>
      </c>
      <c r="E7" s="4">
        <v>-14906.77</v>
      </c>
      <c r="F7" s="4">
        <v>-276.05</v>
      </c>
    </row>
    <row r="8" spans="1:6" x14ac:dyDescent="0.3">
      <c r="A8" t="s">
        <v>210</v>
      </c>
      <c r="B8">
        <v>0.6</v>
      </c>
      <c r="C8">
        <v>583</v>
      </c>
      <c r="D8" s="4">
        <v>42734.79</v>
      </c>
      <c r="E8" s="4">
        <v>-49549.68</v>
      </c>
      <c r="F8" s="4">
        <v>-84.99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62A740-D784-429A-8CF7-570466F1A1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Dashboard1 - Overview </vt:lpstr>
      <vt:lpstr>Dashboard2 - Region &amp; Customer</vt:lpstr>
      <vt:lpstr>Dashboard3 - Product &amp; Discount</vt:lpstr>
      <vt:lpstr>Business KPI</vt:lpstr>
      <vt:lpstr>yearly_trend</vt:lpstr>
      <vt:lpstr>monthly_trend</vt:lpstr>
      <vt:lpstr>sales_by_shipmode</vt:lpstr>
      <vt:lpstr>sales_by_region</vt:lpstr>
      <vt:lpstr>top_states</vt:lpstr>
      <vt:lpstr>top_customers</vt:lpstr>
      <vt:lpstr>sales_by_customer_segment</vt:lpstr>
      <vt:lpstr>sales_by_category</vt:lpstr>
      <vt:lpstr>subcategory_performance</vt:lpstr>
      <vt:lpstr>discount_impact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Asiya Nizam</dc:creator>
  <cp:lastModifiedBy>Asiya Nizam</cp:lastModifiedBy>
  <dcterms:created xsi:type="dcterms:W3CDTF">2026-05-24T10:29:30Z</dcterms:created>
  <dcterms:modified xsi:type="dcterms:W3CDTF">2026-05-26T21:39:29Z</dcterms:modified>
</cp:coreProperties>
</file>