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SIYA_NIZAM\TRAINING\DATA ANALYSIS\Portfolio Projects\SuperStore Sales SQL Project\outputs\"/>
    </mc:Choice>
  </mc:AlternateContent>
  <xr:revisionPtr revIDLastSave="0" documentId="13_ncr:1_{929400DB-8886-4C55-9451-123AC6C8244D}" xr6:coauthVersionLast="47" xr6:coauthVersionMax="47" xr10:uidLastSave="{00000000-0000-0000-0000-000000000000}"/>
  <bookViews>
    <workbookView xWindow="0" yWindow="360" windowWidth="23256" windowHeight="12456" activeTab="2" xr2:uid="{62BB0A67-A219-4723-A5D0-C55B6D200307}"/>
  </bookViews>
  <sheets>
    <sheet name="Dashboard1 - Overview " sheetId="17" r:id="rId1"/>
    <sheet name="Dashboard2 - Region &amp; Customer" sheetId="18" r:id="rId2"/>
    <sheet name="Dashboard3 - Product &amp; Discount" sheetId="19" r:id="rId3"/>
    <sheet name="Business KPI" sheetId="2" r:id="rId4"/>
    <sheet name="yearly_trend" sheetId="3" r:id="rId5"/>
    <sheet name="monthly_trend" sheetId="4" r:id="rId6"/>
    <sheet name="sales_by_shipmode" sheetId="15" r:id="rId7"/>
    <sheet name="sales_by_region" sheetId="5" r:id="rId8"/>
    <sheet name="top_states" sheetId="6" r:id="rId9"/>
    <sheet name="top_customers" sheetId="8" r:id="rId10"/>
    <sheet name="sales_by_customer_segment" sheetId="14" r:id="rId11"/>
    <sheet name="sales_by_category" sheetId="10" r:id="rId12"/>
    <sheet name="subcategory_performance" sheetId="11" r:id="rId13"/>
    <sheet name="discount_impact" sheetId="12" r:id="rId14"/>
  </sheets>
  <definedNames>
    <definedName name="_xlchart.v1.10" hidden="1">subcategory_performance!$C$2:$C$18</definedName>
    <definedName name="_xlchart.v1.8" hidden="1">subcategory_performance!$A$2:$B$18</definedName>
    <definedName name="_xlchart.v1.9" hidden="1">subcategory_performance!$C$1</definedName>
    <definedName name="_xlchart.v5.0" hidden="1">top_states!$B$11</definedName>
    <definedName name="_xlchart.v5.1" hidden="1">top_states!$B$12:$B$21</definedName>
    <definedName name="_xlchart.v5.2" hidden="1">top_states!$D$11</definedName>
    <definedName name="_xlchart.v5.3" hidden="1">top_states!$D$12:$D$21</definedName>
    <definedName name="_xlchart.v5.4" hidden="1">top_states!$B$1</definedName>
    <definedName name="_xlchart.v5.5" hidden="1">top_states!$B$2:$B$11</definedName>
    <definedName name="_xlchart.v5.6" hidden="1">top_states!$D$1</definedName>
    <definedName name="_xlchart.v5.7" hidden="1">top_states!$D$2:$D$11</definedName>
    <definedName name="ExternalData_1" localSheetId="3" hidden="1">'Business KPI'!$A$1:$E$2</definedName>
    <definedName name="ExternalData_1" localSheetId="13" hidden="1">discount_impact!$A$1:$F$8</definedName>
    <definedName name="ExternalData_1" localSheetId="5" hidden="1">monthly_trend!$A:$F</definedName>
    <definedName name="ExternalData_1" localSheetId="11" hidden="1">sales_by_category!$A$1:$D$4</definedName>
    <definedName name="ExternalData_1" localSheetId="10" hidden="1">sales_by_customer_segment!$A$1:$G$4</definedName>
    <definedName name="ExternalData_1" localSheetId="7" hidden="1">sales_by_region!$A$1:$F$5</definedName>
    <definedName name="ExternalData_1" localSheetId="6" hidden="1">sales_by_shipmode!$A$1:$E$5</definedName>
    <definedName name="ExternalData_1" localSheetId="9" hidden="1">top_customers!$A$2:$E$12</definedName>
    <definedName name="ExternalData_1" localSheetId="8" hidden="1">top_states!$A$1:$F$21</definedName>
    <definedName name="ExternalData_1" localSheetId="4" hidden="1">yearly_trend!$A$1:$E$4</definedName>
    <definedName name="ExternalData_2" localSheetId="12" hidden="1">subcategory_performance!$A$1:$E$18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8" l="1"/>
  <c r="E13" i="8"/>
  <c r="C13" i="8"/>
  <c r="B13" i="8"/>
  <c r="N2" i="17"/>
  <c r="K2" i="17"/>
  <c r="H2" i="17"/>
  <c r="E2" i="17"/>
  <c r="B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D84B9-3F28-40E6-9A3A-A4D5B263B516}" keepAlive="1" name="Query - business_kpi" description="Connection to the 'business_kpi' query in the workbook." type="5" refreshedVersion="8" background="1" saveData="1">
    <dbPr connection="Provider=Microsoft.Mashup.OleDb.1;Data Source=$Workbook$;Location=business_kpi;Extended Properties=&quot;&quot;" command="SELECT * FROM [business_kpi]"/>
  </connection>
  <connection id="2" xr16:uid="{505FD652-EAF9-466B-A11E-5534D8724924}" keepAlive="1" name="Query - discount_impact" description="Connection to the 'discount_impact' query in the workbook." type="5" refreshedVersion="8" background="1" saveData="1">
    <dbPr connection="Provider=Microsoft.Mashup.OleDb.1;Data Source=$Workbook$;Location=discount_impact;Extended Properties=&quot;&quot;" command="SELECT * FROM [discount_impact]"/>
  </connection>
  <connection id="3" xr16:uid="{A8A7B40D-D2FD-4E75-AC6B-5C27CF546E90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4" xr16:uid="{52C53436-88FA-4FFD-870E-036211AB7B13}" keepAlive="1" name="Query - sales_by_category" description="Connection to the 'sales_by_category' query in the workbook." type="5" refreshedVersion="8" background="1" saveData="1">
    <dbPr connection="Provider=Microsoft.Mashup.OleDb.1;Data Source=$Workbook$;Location=sales_by_category;Extended Properties=&quot;&quot;" command="SELECT * FROM [sales_by_category]"/>
  </connection>
  <connection id="5" xr16:uid="{916DBA13-67A3-43D6-8CC2-D3881D6D3879}" keepAlive="1" name="Query - sales_by_customer_segment" description="Connection to the 'sales_by_customer_segment' query in the workbook." type="5" refreshedVersion="8" background="1" saveData="1">
    <dbPr connection="Provider=Microsoft.Mashup.OleDb.1;Data Source=$Workbook$;Location=sales_by_customer_segment;Extended Properties=&quot;&quot;" command="SELECT * FROM [sales_by_customer_segment]"/>
  </connection>
  <connection id="6" xr16:uid="{A782EA8D-5D16-4938-AC5F-0A773A9FC067}" keepAlive="1" name="Query - sales_by_region" description="Connection to the 'sales_by_region' query in the workbook." type="5" refreshedVersion="8" background="1" saveData="1">
    <dbPr connection="Provider=Microsoft.Mashup.OleDb.1;Data Source=$Workbook$;Location=sales_by_region;Extended Properties=&quot;&quot;" command="SELECT * FROM [sales_by_region]"/>
  </connection>
  <connection id="7" xr16:uid="{66CD3049-EBDB-47A5-9041-245FEA91D136}" keepAlive="1" name="Query - sales_by_shipmode" description="Connection to the 'sales_by_shipmode' query in the workbook." type="5" refreshedVersion="8" background="1" saveData="1">
    <dbPr connection="Provider=Microsoft.Mashup.OleDb.1;Data Source=$Workbook$;Location=sales_by_shipmode;Extended Properties=&quot;&quot;" command="SELECT * FROM [sales_by_shipmode]"/>
  </connection>
  <connection id="8" xr16:uid="{614E6074-F698-4C70-84AC-3B48491158DA}" keepAlive="1" name="Query - subcategory_performance" description="Connection to the 'subcategory_performance' query in the workbook." type="5" refreshedVersion="8" background="1" saveData="1">
    <dbPr connection="Provider=Microsoft.Mashup.OleDb.1;Data Source=$Workbook$;Location=subcategory_performance;Extended Properties=&quot;&quot;" command="SELECT * FROM [subcategory_performance]"/>
  </connection>
  <connection id="9" xr16:uid="{12F590C1-DA6E-4763-9AFC-13119A2ABA88}" keepAlive="1" name="Query - top_customers" description="Connection to the 'top_customers' query in the workbook." type="5" refreshedVersion="8" background="1" saveData="1">
    <dbPr connection="Provider=Microsoft.Mashup.OleDb.1;Data Source=$Workbook$;Location=top_customers;Extended Properties=&quot;&quot;" command="SELECT * FROM [top_customers]"/>
  </connection>
  <connection id="10" xr16:uid="{6C949FC0-022D-430D-81DC-A6C9031166AB}" keepAlive="1" name="Query - top_customers (2)" description="Connection to the 'top_customers (2)' query in the workbook." type="5" refreshedVersion="0" background="1">
    <dbPr connection="Provider=Microsoft.Mashup.OleDb.1;Data Source=$Workbook$;Location=&quot;top_customers (2)&quot;;Extended Properties=&quot;&quot;" command="SELECT * FROM [top_customers (2)]"/>
  </connection>
  <connection id="11" xr16:uid="{593DB1AB-B8B6-4039-9990-83994C7E3B53}" keepAlive="1" name="Query - top_states" description="Connection to the 'top_states' query in the workbook." type="5" refreshedVersion="8" background="1" saveData="1">
    <dbPr connection="Provider=Microsoft.Mashup.OleDb.1;Data Source=$Workbook$;Location=top_states;Extended Properties=&quot;&quot;" command="SELECT * FROM [top_states]"/>
  </connection>
  <connection id="12" xr16:uid="{ABB75923-7EB2-4C56-86F4-AFFEDD79F8A7}" keepAlive="1" name="Query - yearly_trend" description="Connection to the 'yearly_trend' query in the workbook." type="5" refreshedVersion="8" background="1" saveData="1">
    <dbPr connection="Provider=Microsoft.Mashup.OleDb.1;Data Source=$Workbook$;Location=yearly_trend;Extended Properties=&quot;&quot;" command="SELECT * FROM [yearly_trend]"/>
  </connection>
</connections>
</file>

<file path=xl/sharedStrings.xml><?xml version="1.0" encoding="utf-8"?>
<sst xmlns="http://schemas.openxmlformats.org/spreadsheetml/2006/main" count="335" uniqueCount="238">
  <si>
    <t>total_sales</t>
  </si>
  <si>
    <t>total_profit</t>
  </si>
  <si>
    <t>profit_margin_pct</t>
  </si>
  <si>
    <t>total_orders</t>
  </si>
  <si>
    <t>total_customers</t>
  </si>
  <si>
    <t>year</t>
  </si>
  <si>
    <t>yearly_sales</t>
  </si>
  <si>
    <t>yearly_profit</t>
  </si>
  <si>
    <t>previous_year_sales</t>
  </si>
  <si>
    <t>sales_growth_pct</t>
  </si>
  <si>
    <t>NULL</t>
  </si>
  <si>
    <t>494040.27</t>
  </si>
  <si>
    <t>-4.26</t>
  </si>
  <si>
    <t>472992.98</t>
  </si>
  <si>
    <t>29.80</t>
  </si>
  <si>
    <t>month_name</t>
  </si>
  <si>
    <t>month_date</t>
  </si>
  <si>
    <t>monthly_revenue</t>
  </si>
  <si>
    <t>previous_month_revenue</t>
  </si>
  <si>
    <t>Jan</t>
  </si>
  <si>
    <t>2023-01-01 00:00:00+00</t>
  </si>
  <si>
    <t>Feb</t>
  </si>
  <si>
    <t>2023-02-01 00:00:00+00</t>
  </si>
  <si>
    <t>14518.06</t>
  </si>
  <si>
    <t>-68.87</t>
  </si>
  <si>
    <t>Mar</t>
  </si>
  <si>
    <t>2023-03-01 00:00:00+00</t>
  </si>
  <si>
    <t>4519.92</t>
  </si>
  <si>
    <t>1159.62</t>
  </si>
  <si>
    <t>Apr</t>
  </si>
  <si>
    <t>2023-04-01 00:00:00+01</t>
  </si>
  <si>
    <t>56933.94</t>
  </si>
  <si>
    <t>-50.30</t>
  </si>
  <si>
    <t>May</t>
  </si>
  <si>
    <t>2023-05-01 00:00:00+01</t>
  </si>
  <si>
    <t>28295.35</t>
  </si>
  <si>
    <t>-6.98</t>
  </si>
  <si>
    <t>Jun</t>
  </si>
  <si>
    <t>2023-06-01 00:00:00+01</t>
  </si>
  <si>
    <t>26319.76</t>
  </si>
  <si>
    <t>31.72</t>
  </si>
  <si>
    <t>Jul</t>
  </si>
  <si>
    <t>2023-07-01 00:00:00+01</t>
  </si>
  <si>
    <t>34669.49</t>
  </si>
  <si>
    <t>-2.09</t>
  </si>
  <si>
    <t>Aug</t>
  </si>
  <si>
    <t>2023-08-01 00:00:00+01</t>
  </si>
  <si>
    <t>33946.37</t>
  </si>
  <si>
    <t>-14.81</t>
  </si>
  <si>
    <t>Sep</t>
  </si>
  <si>
    <t>2023-09-01 00:00:00+01</t>
  </si>
  <si>
    <t>28918.34</t>
  </si>
  <si>
    <t>185.88</t>
  </si>
  <si>
    <t>Oct</t>
  </si>
  <si>
    <t>2023-10-01 00:00:00+01</t>
  </si>
  <si>
    <t>82670.42</t>
  </si>
  <si>
    <t>-60.79</t>
  </si>
  <si>
    <t>Nov</t>
  </si>
  <si>
    <t>2023-11-01 00:00:00+00</t>
  </si>
  <si>
    <t>32413.32</t>
  </si>
  <si>
    <t>143.19</t>
  </si>
  <si>
    <t>Dec</t>
  </si>
  <si>
    <t>2023-12-01 00:00:00+00</t>
  </si>
  <si>
    <t>78826.98</t>
  </si>
  <si>
    <t>-8.65</t>
  </si>
  <si>
    <t>2024-01-01 00:00:00+00</t>
  </si>
  <si>
    <t>72008.32</t>
  </si>
  <si>
    <t>-74.36</t>
  </si>
  <si>
    <t>2024-02-01 00:00:00+00</t>
  </si>
  <si>
    <t>18461.92</t>
  </si>
  <si>
    <t>-35.26</t>
  </si>
  <si>
    <t>2024-03-01 00:00:00+00</t>
  </si>
  <si>
    <t>11951.40</t>
  </si>
  <si>
    <t>234.51</t>
  </si>
  <si>
    <t>2024-04-01 00:00:00+01</t>
  </si>
  <si>
    <t>39978.64</t>
  </si>
  <si>
    <t>-14.47</t>
  </si>
  <si>
    <t>2024-05-01 00:00:00+01</t>
  </si>
  <si>
    <t>34195.25</t>
  </si>
  <si>
    <t>-11.55</t>
  </si>
  <si>
    <t>2024-06-01 00:00:00+01</t>
  </si>
  <si>
    <t>30246.98</t>
  </si>
  <si>
    <t>-18.02</t>
  </si>
  <si>
    <t>2024-07-01 00:00:00+01</t>
  </si>
  <si>
    <t>24797.31</t>
  </si>
  <si>
    <t>16.00</t>
  </si>
  <si>
    <t>2024-08-01 00:00:00+01</t>
  </si>
  <si>
    <t>28765.32</t>
  </si>
  <si>
    <t>28.83</t>
  </si>
  <si>
    <t>2024-09-01 00:00:00+01</t>
  </si>
  <si>
    <t>37056.99</t>
  </si>
  <si>
    <t>74.40</t>
  </si>
  <si>
    <t>2024-10-01 00:00:00+01</t>
  </si>
  <si>
    <t>64627.00</t>
  </si>
  <si>
    <t>-51.40</t>
  </si>
  <si>
    <t>2024-11-01 00:00:00+00</t>
  </si>
  <si>
    <t>31407.11</t>
  </si>
  <si>
    <t>141.90</t>
  </si>
  <si>
    <t>2024-12-01 00:00:00+00</t>
  </si>
  <si>
    <t>75972.51</t>
  </si>
  <si>
    <t>-0.58</t>
  </si>
  <si>
    <t>2025-01-01 00:00:00+00</t>
  </si>
  <si>
    <t>75532.55</t>
  </si>
  <si>
    <t>-75.07</t>
  </si>
  <si>
    <t>2025-02-01 00:00:00+00</t>
  </si>
  <si>
    <t>18830.36</t>
  </si>
  <si>
    <t>22.03</t>
  </si>
  <si>
    <t>2025-03-01 00:00:00+00</t>
  </si>
  <si>
    <t>22978.82</t>
  </si>
  <si>
    <t>130.78</t>
  </si>
  <si>
    <t>2025-04-01 00:00:00+01</t>
  </si>
  <si>
    <t>53031.05</t>
  </si>
  <si>
    <t>-26.78</t>
  </si>
  <si>
    <t>2025-05-01 00:00:00+01</t>
  </si>
  <si>
    <t>38829.16</t>
  </si>
  <si>
    <t>46.91</t>
  </si>
  <si>
    <t>2025-06-01 00:00:00+01</t>
  </si>
  <si>
    <t>57042.86</t>
  </si>
  <si>
    <t>-28.23</t>
  </si>
  <si>
    <t>2025-07-01 00:00:00+01</t>
  </si>
  <si>
    <t>40937.15</t>
  </si>
  <si>
    <t>-1.56</t>
  </si>
  <si>
    <t>2025-08-01 00:00:00+01</t>
  </si>
  <si>
    <t>40300.53</t>
  </si>
  <si>
    <t>-21.30</t>
  </si>
  <si>
    <t>2025-09-01 00:00:00+01</t>
  </si>
  <si>
    <t>31716.79</t>
  </si>
  <si>
    <t>131.81</t>
  </si>
  <si>
    <t>2025-10-01 00:00:00+01</t>
  </si>
  <si>
    <t>73521.73</t>
  </si>
  <si>
    <t>-18.62</t>
  </si>
  <si>
    <t>2025-11-01 00:00:00+00</t>
  </si>
  <si>
    <t>59831.05</t>
  </si>
  <si>
    <t>32.73</t>
  </si>
  <si>
    <t>2025-12-01 00:00:00+00</t>
  </si>
  <si>
    <t>79412.03</t>
  </si>
  <si>
    <t>22.78</t>
  </si>
  <si>
    <t>region</t>
  </si>
  <si>
    <t>avg_order_value</t>
  </si>
  <si>
    <t>West</t>
  </si>
  <si>
    <t>East</t>
  </si>
  <si>
    <t>Central</t>
  </si>
  <si>
    <t>South</t>
  </si>
  <si>
    <t>country_region</t>
  </si>
  <si>
    <t>state_province</t>
  </si>
  <si>
    <t>rank</t>
  </si>
  <si>
    <t>Canada</t>
  </si>
  <si>
    <t>Ontario</t>
  </si>
  <si>
    <t>Alberta</t>
  </si>
  <si>
    <t>Quebec</t>
  </si>
  <si>
    <t>British Columbia</t>
  </si>
  <si>
    <t>Manitoba</t>
  </si>
  <si>
    <t>Prince Edward Island</t>
  </si>
  <si>
    <t>Newfoundland and Labrador</t>
  </si>
  <si>
    <t>Nova Scotia</t>
  </si>
  <si>
    <t>New Brunswick</t>
  </si>
  <si>
    <t>Saskatchewan</t>
  </si>
  <si>
    <t>United States</t>
  </si>
  <si>
    <t>California</t>
  </si>
  <si>
    <t>New York</t>
  </si>
  <si>
    <t>Texas</t>
  </si>
  <si>
    <t>Pennsylvania</t>
  </si>
  <si>
    <t>Washington</t>
  </si>
  <si>
    <t>Virginia</t>
  </si>
  <si>
    <t>Florida</t>
  </si>
  <si>
    <t>Illinois</t>
  </si>
  <si>
    <t>Ohio</t>
  </si>
  <si>
    <t>Michigan</t>
  </si>
  <si>
    <t>Sean Miller</t>
  </si>
  <si>
    <t>Tamara Chand</t>
  </si>
  <si>
    <t>Sanjit Chand</t>
  </si>
  <si>
    <t>Ken Lonsdale</t>
  </si>
  <si>
    <t>Adrian Barton</t>
  </si>
  <si>
    <t>Christopher Conant</t>
  </si>
  <si>
    <t>Becky Martin</t>
  </si>
  <si>
    <t>Sanjit Engle</t>
  </si>
  <si>
    <t>Greg Tran</t>
  </si>
  <si>
    <t>Bill Shonely</t>
  </si>
  <si>
    <t>category</t>
  </si>
  <si>
    <t>Technology</t>
  </si>
  <si>
    <t>Furniture</t>
  </si>
  <si>
    <t>Office Supplies</t>
  </si>
  <si>
    <t>sub_category</t>
  </si>
  <si>
    <t>Chairs</t>
  </si>
  <si>
    <t>Tables</t>
  </si>
  <si>
    <t>Bookcases</t>
  </si>
  <si>
    <t>Furnishings</t>
  </si>
  <si>
    <t>Storage</t>
  </si>
  <si>
    <t>Binders</t>
  </si>
  <si>
    <t>Appliances</t>
  </si>
  <si>
    <t>Paper</t>
  </si>
  <si>
    <t>Supplies</t>
  </si>
  <si>
    <t>Art</t>
  </si>
  <si>
    <t>Envelopes</t>
  </si>
  <si>
    <t>Labels</t>
  </si>
  <si>
    <t>Fasteners</t>
  </si>
  <si>
    <t>Phones</t>
  </si>
  <si>
    <t>Machines</t>
  </si>
  <si>
    <t>Accessories</t>
  </si>
  <si>
    <t>Copiers</t>
  </si>
  <si>
    <t>discount_band</t>
  </si>
  <si>
    <t>sort_order</t>
  </si>
  <si>
    <t>total_rows</t>
  </si>
  <si>
    <t>average_profit</t>
  </si>
  <si>
    <t>0% - No Discount</t>
  </si>
  <si>
    <t>1 - 10%</t>
  </si>
  <si>
    <t>11 - 20%</t>
  </si>
  <si>
    <t>21 - 30%</t>
  </si>
  <si>
    <t>31 - 40%</t>
  </si>
  <si>
    <t>41 - 50%</t>
  </si>
  <si>
    <t>Above 50%</t>
  </si>
  <si>
    <t>segment</t>
  </si>
  <si>
    <t>Consumer</t>
  </si>
  <si>
    <t>Corporate</t>
  </si>
  <si>
    <t>Home Office</t>
  </si>
  <si>
    <t>ship_mode</t>
  </si>
  <si>
    <t>avg_days_to_ship</t>
  </si>
  <si>
    <t>Standard Class</t>
  </si>
  <si>
    <t>Second Class</t>
  </si>
  <si>
    <t>First Class</t>
  </si>
  <si>
    <t>Same Day</t>
  </si>
  <si>
    <t>Superstore Sales Dashboard — Overview (2023–2025)</t>
  </si>
  <si>
    <t>Total Sales</t>
  </si>
  <si>
    <t>Total Profit</t>
  </si>
  <si>
    <t>Total Orders</t>
  </si>
  <si>
    <t>Total Customers</t>
  </si>
  <si>
    <t>month_year</t>
  </si>
  <si>
    <t>Profit Margin</t>
  </si>
  <si>
    <t>Superstore Sales Dashboard — Region &amp; Customer</t>
  </si>
  <si>
    <t>Customer Name</t>
  </si>
  <si>
    <t>Average Order Value</t>
  </si>
  <si>
    <t>Superstore Sales Dashboard — Product &amp; Discount</t>
  </si>
  <si>
    <t>Loss making Subcategories</t>
  </si>
  <si>
    <t>Profit</t>
  </si>
  <si>
    <t>Sales</t>
  </si>
  <si>
    <t>Top 10 Customers by Sales</t>
  </si>
  <si>
    <t>Subcategory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</si>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</sst>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4" formatCode="0.00&quot;%&quot;"/>
    <numFmt numFmtId="165" formatCode="[$-409]d\-mmm;@"/>
    <numFmt numFmtId="166" formatCode="[$-409]mmm\-yy;@"/>
    <numFmt numFmtId="167" formatCode="[$$-409]#,##0.00"/>
    <numFmt numFmtId="169" formatCode="\$0.00,,&quot;M&quot;"/>
  </numFmts>
  <fonts count="1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2E75B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2E75B6"/>
      <name val="Calibri"/>
      <family val="2"/>
      <scheme val="minor"/>
    </font>
    <font>
      <b/>
      <sz val="8"/>
      <color rgb="FF2E75B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5B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27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/>
      <right style="thin">
        <color rgb="FF2E75B6"/>
      </right>
      <top/>
      <bottom/>
      <diagonal/>
    </border>
    <border>
      <left style="thin">
        <color rgb="FF0070C0"/>
      </left>
      <right style="thin">
        <color rgb="FF2E75B6"/>
      </right>
      <top/>
      <bottom/>
      <diagonal/>
    </border>
    <border>
      <left/>
      <right/>
      <top/>
      <bottom style="thin">
        <color rgb="FF2E75B6"/>
      </bottom>
      <diagonal/>
    </border>
    <border>
      <left/>
      <right style="thin">
        <color rgb="FF0070C0"/>
      </right>
      <top/>
      <bottom style="thin">
        <color rgb="FF2E75B6"/>
      </bottom>
      <diagonal/>
    </border>
    <border>
      <left style="thin">
        <color rgb="FF0070C0"/>
      </left>
      <right style="thin">
        <color rgb="FF0070C0"/>
      </right>
      <top/>
      <bottom style="thin">
        <color rgb="FF2E75B6"/>
      </bottom>
      <diagonal/>
    </border>
    <border>
      <left style="thin">
        <color rgb="FF0070C0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/>
      <top/>
      <bottom/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0070C0"/>
      </right>
      <top/>
      <bottom style="thin">
        <color rgb="FF2E75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E75B6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2" borderId="0" xfId="0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67" fontId="7" fillId="4" borderId="9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167" fontId="8" fillId="4" borderId="15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0" fillId="0" borderId="11" xfId="0" applyBorder="1"/>
    <xf numFmtId="0" fontId="7" fillId="4" borderId="20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167" fontId="7" fillId="4" borderId="15" xfId="0" applyNumberFormat="1" applyFont="1" applyFill="1" applyBorder="1" applyAlignment="1">
      <alignment horizontal="center" vertical="center"/>
    </xf>
    <xf numFmtId="0" fontId="0" fillId="0" borderId="13" xfId="0" applyBorder="1"/>
    <xf numFmtId="0" fontId="10" fillId="5" borderId="2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 wrapText="1"/>
    </xf>
    <xf numFmtId="0" fontId="0" fillId="0" borderId="21" xfId="0" applyBorder="1"/>
    <xf numFmtId="167" fontId="8" fillId="4" borderId="16" xfId="0" applyNumberFormat="1" applyFont="1" applyFill="1" applyBorder="1" applyAlignment="1">
      <alignment horizontal="center" vertical="center"/>
    </xf>
    <xf numFmtId="167" fontId="7" fillId="4" borderId="12" xfId="0" applyNumberFormat="1" applyFont="1" applyFill="1" applyBorder="1" applyAlignment="1">
      <alignment horizontal="center" vertical="center"/>
    </xf>
    <xf numFmtId="167" fontId="7" fillId="4" borderId="16" xfId="0" applyNumberFormat="1" applyFont="1" applyFill="1" applyBorder="1" applyAlignment="1">
      <alignment horizontal="center" vertical="center"/>
    </xf>
    <xf numFmtId="167" fontId="10" fillId="4" borderId="17" xfId="0" applyNumberFormat="1" applyFont="1" applyFill="1" applyBorder="1" applyAlignment="1">
      <alignment horizontal="center" vertical="center"/>
    </xf>
    <xf numFmtId="167" fontId="10" fillId="5" borderId="17" xfId="0" applyNumberFormat="1" applyFont="1" applyFill="1" applyBorder="1" applyAlignment="1">
      <alignment horizontal="center" vertical="center"/>
    </xf>
    <xf numFmtId="167" fontId="10" fillId="5" borderId="20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69" fontId="4" fillId="3" borderId="1" xfId="1" applyNumberFormat="1" applyFont="1" applyFill="1" applyBorder="1" applyAlignment="1">
      <alignment horizontal="center" vertical="center"/>
    </xf>
    <xf numFmtId="169" fontId="4" fillId="3" borderId="2" xfId="1" applyNumberFormat="1" applyFont="1" applyFill="1" applyBorder="1" applyAlignment="1">
      <alignment horizontal="center" vertical="center"/>
    </xf>
    <xf numFmtId="169" fontId="4" fillId="3" borderId="4" xfId="1" applyNumberFormat="1" applyFont="1" applyFill="1" applyBorder="1" applyAlignment="1">
      <alignment horizontal="center" vertical="center"/>
    </xf>
    <xf numFmtId="169" fontId="4" fillId="3" borderId="0" xfId="1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169" fontId="4" fillId="3" borderId="2" xfId="0" applyNumberFormat="1" applyFont="1" applyFill="1" applyBorder="1" applyAlignment="1">
      <alignment horizontal="center" vertical="center"/>
    </xf>
    <xf numFmtId="169" fontId="4" fillId="3" borderId="4" xfId="0" applyNumberFormat="1" applyFont="1" applyFill="1" applyBorder="1" applyAlignment="1">
      <alignment horizontal="center" vertical="center"/>
    </xf>
    <xf numFmtId="169" fontId="4" fillId="3" borderId="0" xfId="0" applyNumberFormat="1" applyFont="1" applyFill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57">
    <dxf>
      <numFmt numFmtId="167" formatCode="[$$-409]#,##0.00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0" formatCode="General"/>
    </dxf>
    <dxf>
      <numFmt numFmtId="164" formatCode="0.00&quot;%&quot;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167" formatCode="[$$-409]#,##0.00"/>
    </dxf>
    <dxf>
      <numFmt numFmtId="164" formatCode="0.00&quot;%&quot;"/>
    </dxf>
    <dxf>
      <numFmt numFmtId="167" formatCode="[$$-409]#,##0.00"/>
    </dxf>
    <dxf>
      <numFmt numFmtId="167" formatCode="[$$-409]#,##0.00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[$$-409]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2E75B6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[$$-409]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[$$-409]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rgb="FF0070C0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2E75B6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2E75B6"/>
        </bottom>
      </border>
    </dxf>
    <dxf>
      <font>
        <b/>
        <strike val="0"/>
        <outline val="0"/>
        <shadow val="0"/>
        <u val="none"/>
        <vertAlign val="baseline"/>
        <sz val="9"/>
        <color rgb="FF2E75B6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0" formatCode="General"/>
    </dxf>
    <dxf>
      <numFmt numFmtId="167" formatCode="[$$-409]#,##0.00"/>
    </dxf>
    <dxf>
      <numFmt numFmtId="164" formatCode="0.00&quot;%&quot;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167" formatCode="[$$-409]#,##0.00"/>
    </dxf>
    <dxf>
      <numFmt numFmtId="167" formatCode="[$$-409]#,##0.00"/>
    </dxf>
    <dxf>
      <numFmt numFmtId="0" formatCode="General"/>
    </dxf>
    <dxf>
      <numFmt numFmtId="166" formatCode="[$-409]mmm\-yy;@"/>
    </dxf>
    <dxf>
      <numFmt numFmtId="164" formatCode="0.00&quot;%&quot;"/>
    </dxf>
    <dxf>
      <numFmt numFmtId="167" formatCode="[$$-409]#,##0.00"/>
    </dxf>
    <dxf>
      <numFmt numFmtId="167" formatCode="[$$-409]#,##0.00"/>
    </dxf>
    <dxf>
      <numFmt numFmtId="165" formatCode="[$-409]d\-mmm;@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[$$-409]#,##0.00"/>
      <alignment horizontal="center" vertical="center" textRotation="0" wrapText="0" indent="0" justifyLastLine="0" shrinkToFit="0" readingOrder="0"/>
    </dxf>
    <dxf>
      <numFmt numFmtId="167" formatCode="[$$-4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&quot;%&quot;"/>
      <alignment horizontal="center" vertical="center" textRotation="0" wrapText="0" indent="0" justifyLastLine="0" shrinkToFit="0" readingOrder="0"/>
    </dxf>
    <dxf>
      <numFmt numFmtId="167" formatCode="[$$-409]#,##0.00"/>
      <alignment horizontal="center" vertical="center" textRotation="0" wrapText="0" indent="0" justifyLastLine="0" shrinkToFit="0" readingOrder="0"/>
    </dxf>
    <dxf>
      <numFmt numFmtId="167" formatCode="[$$-4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E75B6"/>
      <color rgb="FFE37F25"/>
      <color rgb="FF70AD47"/>
      <color rgb="FFF4B05E"/>
      <color rgb="FFFFC9C9"/>
      <color rgb="FFEE8A12"/>
      <color rgb="FFFF7575"/>
      <color rgb="FFFAD9B0"/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2E75B6"/>
                </a:solidFill>
              </a:rPr>
              <a:t>Monthly</a:t>
            </a:r>
            <a:r>
              <a:rPr lang="en-US" sz="1050" b="1" baseline="0">
                <a:solidFill>
                  <a:srgbClr val="2E75B6"/>
                </a:solidFill>
              </a:rPr>
              <a:t> Revenue Trend (2023 - 2025)</a:t>
            </a:r>
            <a:endParaRPr lang="en-US" sz="105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162508222452319E-2"/>
          <c:y val="0.13337186490270073"/>
          <c:w val="0.88733807467614922"/>
          <c:h val="0.63074333104870561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monthly_trend!$D$1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rgbClr val="2E75B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75B6"/>
                </a:solidFill>
              </a:ln>
              <a:effectLst/>
            </c:spPr>
          </c:marker>
          <c:cat>
            <c:numRef>
              <c:f>monthly_trend!$G$2:$G$37</c:f>
              <c:numCache>
                <c:formatCode>[$-409]mmm\-yy;@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monthly_trend!$D$2:$D$37</c:f>
              <c:numCache>
                <c:formatCode>[$$-409]#,##0.00</c:formatCode>
                <c:ptCount val="36"/>
                <c:pt idx="0">
                  <c:v>14518.06</c:v>
                </c:pt>
                <c:pt idx="1">
                  <c:v>4519.92</c:v>
                </c:pt>
                <c:pt idx="2">
                  <c:v>56933.94</c:v>
                </c:pt>
                <c:pt idx="3">
                  <c:v>28295.35</c:v>
                </c:pt>
                <c:pt idx="4">
                  <c:v>26319.759999999998</c:v>
                </c:pt>
                <c:pt idx="5">
                  <c:v>34669.49</c:v>
                </c:pt>
                <c:pt idx="6">
                  <c:v>33946.370000000003</c:v>
                </c:pt>
                <c:pt idx="7">
                  <c:v>28918.34</c:v>
                </c:pt>
                <c:pt idx="8">
                  <c:v>82670.42</c:v>
                </c:pt>
                <c:pt idx="9">
                  <c:v>32413.32</c:v>
                </c:pt>
                <c:pt idx="10">
                  <c:v>78826.98</c:v>
                </c:pt>
                <c:pt idx="11">
                  <c:v>72008.320000000007</c:v>
                </c:pt>
                <c:pt idx="12">
                  <c:v>18461.919999999998</c:v>
                </c:pt>
                <c:pt idx="13">
                  <c:v>11951.4</c:v>
                </c:pt>
                <c:pt idx="14">
                  <c:v>39978.639999999999</c:v>
                </c:pt>
                <c:pt idx="15">
                  <c:v>34195.25</c:v>
                </c:pt>
                <c:pt idx="16">
                  <c:v>30246.98</c:v>
                </c:pt>
                <c:pt idx="17">
                  <c:v>24797.31</c:v>
                </c:pt>
                <c:pt idx="18">
                  <c:v>28765.32</c:v>
                </c:pt>
                <c:pt idx="19">
                  <c:v>37056.99</c:v>
                </c:pt>
                <c:pt idx="20">
                  <c:v>64627</c:v>
                </c:pt>
                <c:pt idx="21">
                  <c:v>31407.11</c:v>
                </c:pt>
                <c:pt idx="22">
                  <c:v>75972.509999999995</c:v>
                </c:pt>
                <c:pt idx="23">
                  <c:v>75532.55</c:v>
                </c:pt>
                <c:pt idx="24">
                  <c:v>18830.36</c:v>
                </c:pt>
                <c:pt idx="25">
                  <c:v>22978.82</c:v>
                </c:pt>
                <c:pt idx="26">
                  <c:v>53031.05</c:v>
                </c:pt>
                <c:pt idx="27">
                  <c:v>38829.160000000003</c:v>
                </c:pt>
                <c:pt idx="28">
                  <c:v>57042.86</c:v>
                </c:pt>
                <c:pt idx="29">
                  <c:v>40937.15</c:v>
                </c:pt>
                <c:pt idx="30">
                  <c:v>40300.53</c:v>
                </c:pt>
                <c:pt idx="31">
                  <c:v>31716.79</c:v>
                </c:pt>
                <c:pt idx="32">
                  <c:v>73521.73</c:v>
                </c:pt>
                <c:pt idx="33">
                  <c:v>59831.05</c:v>
                </c:pt>
                <c:pt idx="34">
                  <c:v>79412.03</c:v>
                </c:pt>
                <c:pt idx="35">
                  <c:v>97502.3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1-4F7D-B030-F062205BC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100687"/>
        <c:axId val="751108847"/>
      </c:lineChart>
      <c:dateAx>
        <c:axId val="751100687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08847"/>
        <c:crosses val="autoZero"/>
        <c:auto val="0"/>
        <c:lblOffset val="100"/>
        <c:baseTimeUnit val="months"/>
      </c:dateAx>
      <c:valAx>
        <c:axId val="751108847"/>
        <c:scaling>
          <c:orientation val="minMax"/>
        </c:scaling>
        <c:delete val="0"/>
        <c:axPos val="l"/>
        <c:numFmt formatCode="\$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0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rgbClr val="2E75B6"/>
                </a:solidFill>
              </a:rPr>
              <a:t>Yearly</a:t>
            </a:r>
            <a:r>
              <a:rPr lang="en-IN" sz="1000" b="1" baseline="0">
                <a:solidFill>
                  <a:srgbClr val="2E75B6"/>
                </a:solidFill>
              </a:rPr>
              <a:t> Revenue vs Profit (2023 - 2025)</a:t>
            </a:r>
            <a:endParaRPr lang="en-IN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3376066880528829E-2"/>
          <c:y val="0.14179025848677793"/>
          <c:w val="0.8948955380577428"/>
          <c:h val="0.5837406877192439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yearly_trend!$B$1</c:f>
              <c:strCache>
                <c:ptCount val="1"/>
                <c:pt idx="0">
                  <c:v>yearly_sales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numRef>
              <c:f>yearly_trend!$A$2:$A$4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yearly_trend!$B$2:$B$4</c:f>
              <c:numCache>
                <c:formatCode>[$$-409]#,##0.00</c:formatCode>
                <c:ptCount val="3"/>
                <c:pt idx="0">
                  <c:v>494040.27</c:v>
                </c:pt>
                <c:pt idx="1">
                  <c:v>472992.98</c:v>
                </c:pt>
                <c:pt idx="2">
                  <c:v>613933.82999999996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0-4753-AEF8-AE504B540643}"/>
            </c:ext>
          </c:extLst>
        </c:ser>
        <c:ser>
          <c:idx val="2"/>
          <c:order val="1"/>
          <c:tx>
            <c:strRef>
              <c:f>yearly_trend!$C$1</c:f>
              <c:strCache>
                <c:ptCount val="1"/>
                <c:pt idx="0">
                  <c:v>yearly_profit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numRef>
              <c:f>yearly_trend!$A$2:$A$4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yearly_trend!$C$2:$C$4</c:f>
              <c:numCache>
                <c:formatCode>[$$-409]#,##0.00</c:formatCode>
                <c:ptCount val="3"/>
                <c:pt idx="0">
                  <c:v>51684.38</c:v>
                </c:pt>
                <c:pt idx="1">
                  <c:v>62021.03</c:v>
                </c:pt>
                <c:pt idx="2">
                  <c:v>82665.31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0-4753-AEF8-AE504B54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126127"/>
        <c:axId val="751128047"/>
      </c:barChart>
      <c:catAx>
        <c:axId val="75112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28047"/>
        <c:crosses val="autoZero"/>
        <c:auto val="1"/>
        <c:lblAlgn val="ctr"/>
        <c:lblOffset val="100"/>
        <c:noMultiLvlLbl val="0"/>
      </c:catAx>
      <c:valAx>
        <c:axId val="751128047"/>
        <c:scaling>
          <c:orientation val="minMax"/>
        </c:scaling>
        <c:delete val="0"/>
        <c:axPos val="l"/>
        <c:numFmt formatCode="\$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2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2E75B6"/>
                </a:solidFill>
              </a:rPr>
              <a:t>Year</a:t>
            </a:r>
            <a:r>
              <a:rPr lang="en-US" sz="1000" b="1" baseline="0">
                <a:solidFill>
                  <a:srgbClr val="2E75B6"/>
                </a:solidFill>
              </a:rPr>
              <a:t> over Year Sales Growth %</a:t>
            </a:r>
            <a:endParaRPr lang="en-US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yearly_trend!$H$1</c:f>
              <c:strCache>
                <c:ptCount val="1"/>
                <c:pt idx="0">
                  <c:v>sales_growth_pct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6B-47F1-B3A5-10E6BE108DDC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B-47F1-B3A5-10E6BE108D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yearly_trend!$G$2:$G$3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yearly_trend!$H$2:$H$3</c:f>
              <c:numCache>
                <c:formatCode>0.00"%"</c:formatCode>
                <c:ptCount val="2"/>
                <c:pt idx="0">
                  <c:v>-4.26</c:v>
                </c:pt>
                <c:pt idx="1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B-47F1-B3A5-10E6BE108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-32"/>
        <c:axId val="737771967"/>
        <c:axId val="737766207"/>
      </c:barChart>
      <c:catAx>
        <c:axId val="7377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66207"/>
        <c:crosses val="autoZero"/>
        <c:auto val="1"/>
        <c:lblAlgn val="ctr"/>
        <c:lblOffset val="100"/>
        <c:noMultiLvlLbl val="0"/>
      </c:catAx>
      <c:valAx>
        <c:axId val="737766207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7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2E75B6"/>
                </a:solidFill>
              </a:rPr>
              <a:t>Orders</a:t>
            </a:r>
            <a:r>
              <a:rPr lang="en-US" sz="1000" b="1" baseline="0">
                <a:solidFill>
                  <a:srgbClr val="2E75B6"/>
                </a:solidFill>
              </a:rPr>
              <a:t> by Shipping mode</a:t>
            </a:r>
            <a:endParaRPr lang="en-US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sales_by_shipmode!$B$1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sales_by_shipmode!$A$2:$A$5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sales_by_shipmode!$B$2:$B$5</c:f>
              <c:numCache>
                <c:formatCode>General</c:formatCode>
                <c:ptCount val="4"/>
                <c:pt idx="0">
                  <c:v>2052</c:v>
                </c:pt>
                <c:pt idx="1">
                  <c:v>652</c:v>
                </c:pt>
                <c:pt idx="2">
                  <c:v>508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D-4B09-B6B1-EAFCE0B11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254703"/>
        <c:axId val="805256143"/>
      </c:barChart>
      <c:catAx>
        <c:axId val="80525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56143"/>
        <c:crosses val="autoZero"/>
        <c:auto val="1"/>
        <c:lblAlgn val="ctr"/>
        <c:lblOffset val="100"/>
        <c:noMultiLvlLbl val="0"/>
      </c:catAx>
      <c:valAx>
        <c:axId val="805256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525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rgbClr val="2E75B6"/>
                </a:solidFill>
                <a:latin typeface="+mn-lt"/>
              </a:rPr>
              <a:t>Sales</a:t>
            </a:r>
            <a:r>
              <a:rPr lang="en-IN" sz="1000" b="1" baseline="0">
                <a:solidFill>
                  <a:srgbClr val="2E75B6"/>
                </a:solidFill>
                <a:latin typeface="+mn-lt"/>
              </a:rPr>
              <a:t> by Region</a:t>
            </a:r>
            <a:endParaRPr lang="en-IN" sz="1000" b="1">
              <a:solidFill>
                <a:srgbClr val="2E75B6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sales_by_region!$C$1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\$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sales_by_region!$A$2:$A$5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sales_by_region!$C$2:$C$5</c:f>
              <c:numCache>
                <c:formatCode>[$$-409]#,##0.00</c:formatCode>
                <c:ptCount val="4"/>
                <c:pt idx="0">
                  <c:v>481572.69</c:v>
                </c:pt>
                <c:pt idx="1">
                  <c:v>475261.18</c:v>
                </c:pt>
                <c:pt idx="2">
                  <c:v>355317.13</c:v>
                </c:pt>
                <c:pt idx="3">
                  <c:v>268816.08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5-415E-A7BC-A0E79621A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5970527"/>
        <c:axId val="525969567"/>
      </c:barChart>
      <c:catAx>
        <c:axId val="5259705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69567"/>
        <c:crosses val="autoZero"/>
        <c:auto val="1"/>
        <c:lblAlgn val="ctr"/>
        <c:lblOffset val="100"/>
        <c:noMultiLvlLbl val="0"/>
      </c:catAx>
      <c:valAx>
        <c:axId val="525969567"/>
        <c:scaling>
          <c:orientation val="minMax"/>
        </c:scaling>
        <c:delete val="1"/>
        <c:axPos val="t"/>
        <c:numFmt formatCode="[$$-409]#,##0.00" sourceLinked="1"/>
        <c:majorTickMark val="none"/>
        <c:minorTickMark val="none"/>
        <c:tickLblPos val="nextTo"/>
        <c:crossAx val="5259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rgbClr val="2E75B6"/>
                </a:solidFill>
              </a:rPr>
              <a:t>Sales</a:t>
            </a:r>
            <a:r>
              <a:rPr lang="en-IN" sz="1000" b="1" baseline="0">
                <a:solidFill>
                  <a:srgbClr val="2E75B6"/>
                </a:solidFill>
              </a:rPr>
              <a:t> by Customer Segment</a:t>
            </a:r>
            <a:endParaRPr lang="en-IN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2-45E2-884C-5641D465B19D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2-45E2-884C-5641D465B19D}"/>
              </c:ext>
            </c:extLst>
          </c:dPt>
          <c:dPt>
            <c:idx val="2"/>
            <c:bubble3D val="0"/>
            <c:spPr>
              <a:solidFill>
                <a:srgbClr val="E37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2-45E2-884C-5641D465B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sales_by_customer_segment!$A$2:$A$4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sales_by_customer_segment!$D$2:$D$4</c:f>
              <c:numCache>
                <c:formatCode>[$$-409]#,##0.00</c:formatCode>
                <c:ptCount val="3"/>
                <c:pt idx="0">
                  <c:v>835747.94</c:v>
                </c:pt>
                <c:pt idx="1">
                  <c:v>467562.07</c:v>
                </c:pt>
                <c:pt idx="2">
                  <c:v>277657.07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12-45E2-884C-5641D465B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rgbClr val="2E75B6"/>
                </a:solidFill>
              </a:rPr>
              <a:t>Sales</a:t>
            </a:r>
            <a:r>
              <a:rPr lang="en-IN" sz="1000" b="1" baseline="0">
                <a:solidFill>
                  <a:srgbClr val="2E75B6"/>
                </a:solidFill>
              </a:rPr>
              <a:t> by Product Category</a:t>
            </a:r>
            <a:endParaRPr lang="en-IN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38-41CB-877C-52A60AE97C5A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38-41CB-877C-52A60AE97C5A}"/>
              </c:ext>
            </c:extLst>
          </c:dPt>
          <c:dPt>
            <c:idx val="2"/>
            <c:bubble3D val="0"/>
            <c:spPr>
              <a:solidFill>
                <a:srgbClr val="EE8A1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38-41CB-877C-52A60AE97C5A}"/>
              </c:ext>
            </c:extLst>
          </c:dPt>
          <c:dLbls>
            <c:dLbl>
              <c:idx val="0"/>
              <c:layout>
                <c:manualLayout>
                  <c:x val="8.6159844054580895E-2"/>
                  <c:y val="4.16666666666666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8-41CB-877C-52A60AE97C5A}"/>
                </c:ext>
              </c:extLst>
            </c:dLbl>
            <c:dLbl>
              <c:idx val="1"/>
              <c:layout>
                <c:manualLayout>
                  <c:x val="-1.9444444444444545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38-41CB-877C-52A60AE97C5A}"/>
                </c:ext>
              </c:extLst>
            </c:dLbl>
            <c:dLbl>
              <c:idx val="2"/>
              <c:layout>
                <c:manualLayout>
                  <c:x val="-7.4999999999999997E-2"/>
                  <c:y val="-1.851851851851856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38-41CB-877C-52A60AE97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sales_by_category!$A$2:$A$4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sales_by_category!$B$2:$B$4</c:f>
              <c:numCache>
                <c:formatCode>[$$-409]#,##0.00</c:formatCode>
                <c:ptCount val="3"/>
                <c:pt idx="0">
                  <c:v>567474.17000000004</c:v>
                </c:pt>
                <c:pt idx="1">
                  <c:v>535435.01</c:v>
                </c:pt>
                <c:pt idx="2">
                  <c:v>478057.9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38-41CB-877C-52A60AE97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2E75B6"/>
                </a:solidFill>
              </a:rPr>
              <a:t>Average</a:t>
            </a:r>
            <a:r>
              <a:rPr lang="en-US" sz="1000" b="1" baseline="0">
                <a:solidFill>
                  <a:srgbClr val="2E75B6"/>
                </a:solidFill>
              </a:rPr>
              <a:t> Profit by Discount Band</a:t>
            </a:r>
            <a:endParaRPr lang="en-US" sz="1000" b="1">
              <a:solidFill>
                <a:srgbClr val="2E75B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45793408145022"/>
          <c:y val="0.23622247219097614"/>
          <c:w val="0.84712880250055511"/>
          <c:h val="0.578486689163854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discount_impact!$F$1</c:f>
              <c:strCache>
                <c:ptCount val="1"/>
                <c:pt idx="0">
                  <c:v>average_profit</c:v>
                </c:pt>
              </c:strCache>
            </c:strRef>
          </c:tx>
          <c:spPr>
            <a:solidFill>
              <a:srgbClr val="E37F2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7A-45C8-9182-94F4521F8B80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A-45C8-9182-94F4521F8B80}"/>
              </c:ext>
            </c:extLst>
          </c:dPt>
          <c:dPt>
            <c:idx val="2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7A-45C8-9182-94F4521F8B80}"/>
              </c:ext>
            </c:extLst>
          </c:dPt>
          <c:cat>
            <c:strRef>
              <c:f>discount_impact!$A$2:$A$8</c:f>
              <c:strCache>
                <c:ptCount val="7"/>
                <c:pt idx="0">
                  <c:v>0% - No Discount</c:v>
                </c:pt>
                <c:pt idx="1">
                  <c:v>1 - 10%</c:v>
                </c:pt>
                <c:pt idx="2">
                  <c:v>11 - 20%</c:v>
                </c:pt>
                <c:pt idx="3">
                  <c:v>21 - 30%</c:v>
                </c:pt>
                <c:pt idx="4">
                  <c:v>31 - 40%</c:v>
                </c:pt>
                <c:pt idx="5">
                  <c:v>41 - 50%</c:v>
                </c:pt>
                <c:pt idx="6">
                  <c:v>Above 50%</c:v>
                </c:pt>
              </c:strCache>
            </c:strRef>
          </c:cat>
          <c:val>
            <c:numRef>
              <c:f>discount_impact!$F$2:$F$8</c:f>
              <c:numCache>
                <c:formatCode>[$$-409]#,##0.00</c:formatCode>
                <c:ptCount val="7"/>
                <c:pt idx="0">
                  <c:v>66.78</c:v>
                </c:pt>
                <c:pt idx="1">
                  <c:v>86.52</c:v>
                </c:pt>
                <c:pt idx="2">
                  <c:v>23.47</c:v>
                </c:pt>
                <c:pt idx="3">
                  <c:v>-40.950000000000003</c:v>
                </c:pt>
                <c:pt idx="4">
                  <c:v>-111.38</c:v>
                </c:pt>
                <c:pt idx="5">
                  <c:v>-276.05</c:v>
                </c:pt>
                <c:pt idx="6">
                  <c:v>-84.99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7A-45C8-9182-94F4521F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853647"/>
        <c:axId val="956854607"/>
      </c:barChart>
      <c:catAx>
        <c:axId val="95685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854607"/>
        <c:crosses val="autoZero"/>
        <c:auto val="1"/>
        <c:lblAlgn val="ctr"/>
        <c:lblOffset val="100"/>
        <c:noMultiLvlLbl val="0"/>
      </c:catAx>
      <c:valAx>
        <c:axId val="956854607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85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Top States - Canada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000" b="1" i="0" u="none" strike="noStrike" baseline="0">
              <a:solidFill>
                <a:srgbClr val="2E75B6"/>
              </a:solidFill>
              <a:latin typeface="Calibri" panose="020F0502020204030204"/>
            </a:rPr>
            <a:t>Top States - Canada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F2DE99D9-42D5-4A3A-8590-9EF1B389BE4C}">
          <cx:dataId val="0"/>
          <cx:layoutPr>
            <cx:geography cultureLanguage="en-US" cultureRegion="GB" attribution="Powered by Bing">
              <cx:geoCache provider="{E9337A44-BEBE-4D9F-B70C-5C5E7DAFC167}">
                <cx:binary>1Htpc9y20u5fcfnzhYOF2E6dnKqXnEUaLV7kJc4XliwpABcQJAiuv/72WLZjyT5Ocm9u1Y3LrvEM
h0SjG9399NM9/76Z/3VT312HJ7Orm/5fN/PPT22M7b9++qm/sXfuun/mipvge/9bfHbj3U/+t9+K
m7ufbsP1VDTmJ4pJ8tONvQ7xbn76n3/D08ydP/c317HwzcvhLiyv7vqhjv0Prn330pPrW1c0m6KP
obiJ5Oenl3fTb35obuvr5vbJ8d/59YdwfevD0yd3TSzi8npp735++uC2p09+evzwbwR5UoOscbiF
ezl9Johimurk6ZPaN+bT50jgZ5SRRCtJ9Mc/6vOil9cObvw/ku2jZNe3t+Gu72G3H19/+KgHW4Nv
nj99cgMaiUcdG1D3z0+z6+b69vrpk6L32f2VzB83lv3PR0389NA8//n3ow9AN48++cqCjxX5R5e+
MeDzJl6Hwn/W3N9gLvwMy0RwmST44x/20GqKP1NUScYZv79OP699b7U/IdD3bfTlxkcWeX75z7LI
xXVTRP8BDszf5kHJM80w55Lyh7bQ8lnCCMaS6XtbwPX7Re9t8WdE+b4xfr/zkTUu0n+WNf6n/nAX
4t9pDP6MCDCHlPhL1Po6qhGSPOOESM0xxLuvrfEnRPm+Mb7c+MgW//MPswUEtw93N5+V8jeEKvYM
40RBYvlkCv3QPSR+JqVKCFHi3lRw/WuD/LE837fH5/semeNl9s9yjTQUsejtk8zXg/tQ/J0+Ai4g
HgcrQsFziOA8oeKhHf6KIN+3yLdPeGSb9B9mmxehaG7unmxvp+tw++S0P+Kzz0r7v3ecRDxLiIYU
nqgvjvF1DBPgWDSBv5p/iXFfO85fle77Rvv+Ux4Z7sX2n+VUl368fnJ14+Pf6U8Jh0DHiBD0Ps3j
R5gM7CWwOMJo+fmQfILQf06a79vnwVYemeXy6h9mlrvpSRqGpp+Km+qzjv4WR+KaMKEFu7fMY8OI
Z0QqJqT4lKEeATQocf6cWP/FQg9vf2yjfxg8uLruq+sI9fF03fx9JuIJxDqhqWSf6hnyECQQDAWN
xir5mLC+jnJ/Vp7v2+bh3Y9Mc3X2/7f7/JcK+F47927z4Ct/kRIQ9BmHmkUJ/HsN+XX+0QLimSJY
8U8B71GN+bki/+/yfN8mn+97IPv/6wL/vxf/X1iTzXW83n6kW76q/3989eMGgRV6dOsnfPvdyHav
rdPbn5/SBAr8r2x2fMgDZPylFv/mnrvrPv78FMnkGaNUa5wQmSicCIDW093HS/pYIEmhBHgUYAiW
QBnU+BAtUEHimRKEA79AuJQkUXCp98PxUkKeScqUAqJIUrgfMtnnLb7w9WJ880Ufn94/aQb3whdN
7OHup0/a+28dt8epYoRwEEILgP+aMTg/7c31K+DW4Mvkf01rrXnOAjuLtTLi0supFpdJPboAMfML
u/WdhQC5PlqIK60w1BeKcM3EUZCvFooLYjGp+XDWMePsBvkcf5CtSfodQwj5zDjq8r+6ZsI5ozzB
AhK+gsj1cM1jvmlQT8uzWBJeXQytrug7nY9BralbhrE6yXPWVID3/9JORXKMo1okcHqIfKxSnSCl
IyPjIbZ9qC4Rc8uaFiOqixdTMdT2is+sN69/vCgcyofqFQknCthQYD8o0fTRVilJQuQoxoOgi19T
zFp+PcwmnDahLn/58VrHZz04M4LD+cOYQi4XWmL8UK040YZWxdofdPDG7I0rkGWpKAfemz+w4Lfb
4pJzAVtjBBxEPFpq6NDYe6a7g1tGIbKGVvXbLkxjvpv60ZenP97Yd1YDvgLOCsOgsORIS3x9Rk0/
1prwpD+oacW37ZjTNV0H2YW0xm3Rbn68WgKe/0iPAg4KhISjKoXkR5f5yiWsjjTP59wdZmvnxqe+
C13/XlYUnK9ppI6nzA26uhhl2cWModqWW19jFU9pIQlJvWmH/gSPSuktxY73Ox8GzbZFiRO8H7Qd
myINjplfOVqa7sCspih1eijlRuG+W9K2JKvbD9NAixPZ1G1h0p5Pi9ssiRjKrFNFnWdtMvvqTA3l
sKbDXLn+PWZ2LLOedLY+tyyyfteMCQhd+9Ksh5CMszmdBRnLV8k0I3UwCyn9Zhx4LVPucpUf8gLN
NGunhosXesr1krWV4qNKy1GOgaWdXtux3EEk6aJOFV6bufvLRwu0rxNFtBTAQLHH2o9zTCzH7rDK
DsVTRZOu27huYuFtXpHlLy6XSPBJhjWGeM2pxMdY/7Wxy0V21MhWnc60GIfnlOAJwk8XMM5U7jT7
g8MlJRQ0X58uWFBjcM4E4MHxjBH6cMGQNEMeCOenBRw+lDnW6ORVAV5WqnTEcSgL0LLlyUlibVJd
lMk05LsagkiRFkulxCFxZK5OxnpYsN1ibVHYBuDDkcoWF3Oq3y6zYNVFmOokX7ZLwxx+G9tWh7uq
Whga0nyyJYpZWcxCbSrFprJM8UpRiLtqpKDtkpp8HzpUT29bXIvzaYrtkiUDMa/reij7LMI5KXaQ
Hvj7NRL2ikrX95mdE3FYLCrqLuX9kCQnbrLEDZvJzsTtFmlYcjKMRTPwVC5t7V/X1kndZDkdYV9W
+tLyVHeoEbczGsJA0ggHJFnP2rGLSblHeJ2KtFQs1AcJQbRl6b16vOs6cVm6JtLny6Th4EcB+b3c
zB02U5UG5JTaFG1juz4t+2nlJtU6mjYbuR8h64ixAY3PTUD8l7pjeDkzTpPrsp0maTeNRuBFwoKc
rxNKp/5151uG9uUwiWU/lKYtNv2Mi+Z0sN7Nu8H5IZsLvoT9GIKpMmhnFXuWMLkJkbjnrRd0OhUt
nuudlTL054N2sfWpja30b723lJxR0/pLJBc5ppibTqaDs9NmUoavaWNVu7GWe30wfOzVru1zedb7
0ZOt8Z122+i0vLKlwBcD+P2U8ZXRXyE7Fod65r1Ii0GWlwFiDkhUkLezm01axXAtrO3eIkIhP7pl
tlu+4nbdU9zw0GYs6dYitVr25Ss3SY93urKuchmkI7OPshzIZulle70mDukUx1YsaYLI2KWywmPc
TrQZxF5YLMvnJQr55TqPmG0FLSI7Fy7Py90SlXnPEm+XDZmSvMPwROZfmXy018S2Vp6ggfCTCcSD
Xaz5dKBrDnFtKVk17YaqUad66Oz8YqlYe7FMY0l3TZEnv46uEoemWqQG7FhZcl6tLjZj2hOG2pSD
3FthfZsKWtsmDZ4014759Te/mjpJK7F02Tp082ur/PiOw976FHu+vjXl0hapw6q7qb2i64a2BR32
DpfNkhJqqyErxgoS8bq0xMFyxkJKGUs0bmK71sU1GUixfJDjUFz3k8v3yufje2dwt2/G0ExdOnQR
d2PawkaXVCstt53USzoP0oldWSay2xkcR3XuNC7sDsSN8nb0aLlrm2rwB47KGrYYO0CVmYlm/q1n
ZbMtTSGX980COPiAGWv1SaxzXqVVPQ71qVkjFW9mogq/hV1MPUlVXPrxrU0KTvc8773MYi1WXKdu
LLDZIsj85p2pXOPkJllDQxa7nWMvmLyc/dKsaV/TJnxQSBXl3i7VHFNOusFuxbAMLxfVi/W09Tj2
b6bQtNUFV0Hi9yhHiz1bh+j9RVhGa0CRbnkOwUtWJ2geJ5P6tmzmg8DtUuNUkyna1yqnlLziBerq
FC+ghvc85xPKIBzUL2Pdr3gb2pGsZ0mkYSzTIuJQpwUfAtlEyMT4coglQlsR7GA2eHBv5rLT6MIW
QrJtJSvR7UFiPb5bEVP9Do6HYIeVxTWvt2FEObmQs56KCzfioH/1ztB2h4mZm51zxrhT2egu7GmO
xvnClAOeM0IRbQ/54gqbwklp5jsECIv/giE2F9nQdsgdjAPJX+M1keLKt6Qx100lksWlsjZz/so7
rPMzOtbFnOIG5+22V0LZrKtyaV4akrgu82232JO8aNp2E7lTaMxI1M5kSWd7+qYauLIXy0AdHjNA
M5XeLXWdsHPVraiOqcx7cE1bu5C/n6divF2N6fCvc41Hdr7wxZcns0MVv5znyi91Zg2UUa9jnLTf
AQ6u2UXn6yakdgkcpzaRvD1n7VLCMycEcTYVoanXt6jvDFiWQcToX+etw6TeUIBREIUoJIpW79pE
V2DQtZBi/I1PI5IXtSlLdUlLOPqbeWGlOaMS0ueBqtmyyyCb6Led7tf5AEFKjS4tPGuGdI2tRe8q
LpfhV4zbufslzpiIvfdrIn6tvYh40wcti72tyjiAg8/sw1gZXRUR0shK7TZf7OCLfbWUCUq2rvS1
ppuwwMF+rqXOTb1BxhJmL+yCrGyuydhOudt05epF1rdTtZjtGPpQq+3U5fkYT7yf17BLyORMgVLB
+27uNxbRWKTDgrCs0prMOLHnPlc8GW9qXPVXfmQNcpnDdqz2AF4dLjZwYmbycqipqS91HlqbQq7G
zXYIAGvTkgWKsm7tkb9sZ92ZFFZfw6bpu2RKC8rDjsfJ1nsdl1ilQgC+2RXY0qsKow5f9vXSb0be
zVnEtNo1yaRPqljwt1G11YkiY33Th9J0G7niZTtJPp6ToQlLyhYLy9fSxjPGNBQOAVRyNxbzak7i
oP0rsLK4dOXIDhHgxQbwib4WlS+21VzO4rYdVGg2fVzysLdjPd+EBBJdqlY6FdnUD+2HzrQ0nC+D
azb5oOaXM+SqF2uN+XniJ9ak61TaZacnri4lGvPrxXfd81kU9ZDyMrG7wjn2hmMUTr0fx3jAVjmd
CSHqSyiQPX1xRLA2q1sf3+WkMofe5mMd0twPkOjN0vJTUjh9i5J2PjBjrMpo0LhJjbWgyqrt6YfF
qYpfIMbQFjV8KjPakOHQshZtLIdMntqQ2LAz0sxgd94JcSptoF26iNWIjZhp/yFBRfvOhpHjLNE6
uSn72k7ZQoskpSXuLvraLW3ayJpWm5LF5W3Sdv5UuoJtSsKm8zI35JcFeIZf+5nZmwIy1qHuvX0x
l1ZtOtKEvW4pzgqLaRaLpMkAAVUqi5Tlc0pxHg6EUP++mWgECCOteR9X5HfWMJuSxr3xyNW/VOPc
ZaidyhcN1m4XadR7V6N6VxUKf1j7Tp8gIyvIiX2/7XLeb33F7au1QN6kcqJ1vfEDnTMAh91lk7AV
Tiey4ybX2HV75mRxO3tErjzznEEOo/pNVa4CkK1UbdzMfYFQllg0Qq5vR7uZCzH3GdSsedov3RJP
a1S1lwlggRkgVMuBCoGhoBoQaDHupZDT9dBQsk96h3gKLA3OaJJD6Kzm5KzMObrgY+fPKt2QbQni
XyUI3IEn3m3GotV3rq/K6yFOU34K7jeYbfCNv1LDYs4HWxqVWmAT37UYVy8nU0y3tI3GHjFqW6cc
mabdqN6yK1YMa/ICrUS5tFpX8tJXpcJZC8H/Atav097k6y44utCzaibduC3VqLMO7tuppmfDb0Wn
kuuaiyo/WY+1x5kca7qeTAnG7sRXtAtwNJO17F/E6Neu3FVojeiqSvwCVWhtKRA2NK5Q1CrjCXxE
EG/6960qFnS1dNiW+yTogK4op8AnGZMsAxiBlVh4cHc4KSkEpnp+uei5fd9XHlYaCw9HXwwKbsbL
0FbbysPIyHZwoajP17AQd9blJI+n40gsWN7WM4LDNebVXBVZi8kEgnS5JbDGYF0ub8BXW/988gsI
WsyIij1BPYZKZe7hYU0zMI7SjyLMuZ58mS1TuZBz3Ki8kRD3JGkP1jEAKr2Ugm2pL+D/69DD82rW
wo5VG3p0leQYyoU0lwyRPEPAWuqQKaYm2LTJu/W4ShMVCDsPDiLrZlwB2my16kd0lSsBubSshV3f
1q3C7sx5i4e7kQyhfCNQO44bt5Z18uGe+Wt0ARUhgqThn/upM6Dqj4zgvbYEG+HJ5aLIDAm/VPXl
/f6ADet3PYUz+6JECRAEftBzvJgJAPZtLBuMNqBI6s7qlgJxgGkJ9h4tgp1WYpLsYooSQPrs6LQ8
Z5VR7lAkUpETOgHhdeqS0bmzCuB48d46NC9lpvSk+FspVijxJu+Ouwek7ZuNp2U1/hZ9AzXPxg6V
6mnKgfMUqRG1A3QRcMPyYjcUHzkeM7mqPjegc3pSGFubQ4BzeqttsXKXtr1pJoCgXqOTujU9S4tE
TS4bo2jY82ItsdsjHvo6I8UcAIlYEdWOUFo6CDCYXJXA2RhzMU8mmD3GRTXua5PU5W9rNBN9vjZ4
HTPwb7G+zqmEmruVYy4O6xSBAqqnkncf+jpfhs2cD8W8N5LiD2XVF9VvIYcKepu3tnHdtkJz0QG9
AOOVLFVdW78FuBPHK64HqDknGNRJrssxcJZ1TkKdTYfJ8hOloPo5C4MR47lPFmXPIbXbiLbE2lq+
1Bii4fNyjFBl9/l6rGGrDkddQ1prLMB82vVrJqwo17dkbrrxasg9Eoe2MxDKJ9mA2GzmcLdMWjvv
yWRanEZnOvOiBZ6hzvJV53LLfIHktirxsmxyxyedGUWCaTc9cFTTpuVJo1IjWcPO1mYN49VMO4Qu
5oHoY/KyTZ6Cdmr6DkffhnO+rMX8xnaynJNM8mVcbhAEpOREuwGDK489Aq0W5XF+aVMl5aKTtG/K
GSU7E6ZFnsmiBCatadbiMLka3KkOy7TpcY2WjEkqzxUpB53OuMRN1nvoeZ5Pi4EzOfWgJtgm4y+a
4NC+Yh2ntx7YdwifVQOcM8BscJSxr1YQBFlUs/fCAWV0mJsjQ1JiYCdO0ELyZkMDhVTULbWyG6Xb
ubqpoK5qMxdUHraLlmZVaY/IMMNo4I847EdM6JE8IhLmUKTiWAMX9Yh3pXimAKlmfloVBngfAsi4
2LRr6dyOy7y292zVp4bOi6/bEje+XQI40aeR3C9v//PaO/j7cQL09w+PE72/v7v4PAr8w2/t7/yx
p98//tJRmi/P+n3W9NjS+TJ4+qhJdD88/Lm98lcuPmgvPeiifW7YHvsvDCjhL2b5prf0uQn3e2vp
+P1PfaXjsDBj0NQgjEN/kFGYCf7UVyIJdG4/NZIUewY9AaUSBpAM/ieABvy9kQSNHwbzkoCm4QL/
S32k44n4vSkANKqChgc0BTBMKWvoQTziN1W7YgTdI3MF7cx1XT701jY22Yx9A5zaG6f4IABfdfNU
IeCJB9I2L0pjgd7d1MBr9dNuhM7G0qSRjiUwf251/ZScJgbAGt5HsbLyuo6V74v9WgBN6J/rMQmG
njDcEt2fTqHgpbtgJq9Uk6lVopq+FHRVxRVeSALL8Aot7XqVNwN4Xx4GGshlOelj0ii5JPDOjPaY
5j+J1S+9BliSlCSwelMjpEO4UguitMrmbgAQtCFNDwErDY3uE9KkgBxUKbflqlaSpKhocMgvvjoA
n/zk63adAEt+rebjkB4D8ALdHqbFt80lB77VNoky74iArKTTdu1HgbeYSiWbrGo6Y5oUDVPefUAz
XyH6FZbWzbyr2nYo3o6FmDxNJ14oUEl0EGTcZoA+ROO3BoxTLqcjikaHNDDIfQlwMYMCpFGpnIGy
hat6sAD0MztZp23tJtZmxgBDN6e1GbrObEs71SCXwZyCXAZN1Op9b0oGkEl3DqjNg5vztvJbBXlM
vmRQeCqZVQsZ5W3wFfFvEtAjSNcgfHygCB7D0rM1o6uhHoECQmacOxPpCeqBcLhCrJJ9v5FdHjE5
W9naDHJf5cgnfAf0P2/dBQDbsr0NMDo0TLs1Tn6WmzIZcimzLlcjPL/rCjSO52quG1BCFWMO75LS
l7BaB9kHtt21BIMIoevmBO3ruSCoAzSJj/IXw1DAtm1JIa/82OYP20SAcBJJoEGsIT1B8wmSyyMi
v4pc1OUU3q4szEaeMp7k63TA5TQKvuks8AZ2S81aLdOpH/wKhxzFaorlCXE5APCTH4sDceXhCYSO
HIF5A8YVNOaUfiROwW2kep7zNz3WAo7GXGIz2w0R04LcthXzUVXjZF1rXyJat4Ar5mKAHzvA4OGX
WPgdVyAPGxygFw7RT5AE2ucMtHMMgF93VFY1FeXQ9vKN9JXn7hJ4jWYs9yFUhUheajBIDnhvgPNY
rymt1s6HFHUjgaNVLCqZll2+DseXcVr0ZDduaHkkz2U5QvfiuZvrUX3wLA6muph9Dp0O5SoiXv54
Fw/b4rAJmHci0KXhAL+AoFSPEi2HDlUXebu8ATxz7EqIcWWgxmSYvF72lvUdGw8aNb2fffrjpclx
GO6hKWEQDnrgFI4WoZg9jtkukGSwKzNvhAMGKX89AHcNJC9QqR3YMGfQoRgPshiPPpD44EqaYWBf
dXfRQGHWsEugiuF3PaktzNFTPxVNQ+/J8VwYZEPcBEtkqZ/7wVHK92JojuFkGq2HZ4rQLZKmlKwS
orAf11G/z11Vzu2rttEleDGQEnXjUs0HlOgdgwwATgaQMBfdbqGeHx2372sQc5mBcQ+ZZu0AcWcZ
wwASuV4dvRIVxTEm5WgWYHys4TiFLIxzFfuskMoGmbXdcPRtRuUC19T9U8ZOHB+NY1lAMTgn/TGw
zC3Ua+NBNY05bm9ujoViWWjw+9n3HSyeeBh9tzc5MDzTctazOZ/a1IsGdx8giDag4aZfIVJvV9xb
2m7ymgqyIS3QXZAAg3bQYkgjUbItThczwQzIy7ItAPDvm1aaMX/ZVkMj0LW/D5C1NB0Yb+5iDZXu
SGINj2ZLA/p+hysFsw/ndUl9VZ2UOfXlHNIVgTdAgF3HCF+d2vootUryFvalSwMVYzLGY1QDTu8o
Z4eKCV01bX/Mo55LY4FAWmhwBDjbCQNlXwyi5joFKnjo8RbSOes+CKjvwEyfHmWOv6ESz/l9RJ2j
8fMr53A/bTtT9aPZ86KeI309+O5o3IILUtbv4jgpBUSBnEiZHyrbHM/ZBLydGM4oXnqIMQ3UQKDS
H/sG/yboyo/dYUhBx8EK+ngUwIoc9+uq4ls/JMVaQZWy6g6Q/n3MQ12YQWVihN5OnU5NSeDFNx3U
yttPX2FF0UOLk5UuopeaqmOyZp4GsGKcZJiuxpBj12+GOlRwqrSlRy9rgwBCmLvS9F06Vyzw5Kok
My9MkWLdt55fRc+BF3mF57I3r6a55LM47+S6YLKmnLadHM7YfQKlrAcSBRgOAwvcvyHQcoTz7e9P
OxmXI+4pVXmM2cDuomWCOtmNcA7CwrsevWgJTBy0Im2g6RLtu0/Zjsx0gR0j00IRlHVI4+lIui0N
2APSI8CqNMjC5DEzSWkw3jWlHaBoMkCm9jeYowkcl0ROIccysg5AQwLn3/XiwKvE5HrrHIGW/95x
0jCxq0h+dGreopWWfxgFHwbB40gSJFUM8Y/B+Ok3jfnWJQxiEq+ugEdIoNUI7MkCKJA2cDhp9gka
5kniyiKLs667MoXazxJ+xhY2QVRefYeL5C9mNwVjsJDUYIwIUyjAvpkiWouW8mIpwhse6QSbX0d/
fKn7Lu/1RWxH3r6C4Ks8xOuI+3m60bWGsn4/UzVZdLPgiAEQazIPTOzp5MdOZU1ej5Bd3NzEck67
kENT7wKpUiSnwZQArmEa80c5+lGKVlBBChh5gFE16BbCmMujomCGTtjQ0o5ekSV0BkGDEmj3okwr
wLaArZscuA12StEUp3YfFpizp69/LMEjtAISgB8TGCCCseOjMz8GCQFGIKa1m65gbq6S/N2E55kv
O6SJgyNfSVaNS2pFiGBropKjdaV0bJm3f1UOTWGQCQRIgOz4RhNVRxMnuq69uo+NlPfHgAyeD2l/
F3M8g1kmIJOPDgFeD3AkWnfEvT8W4xHcgGIRw08ZKNCDIM1xPu0hZiqrIQYrWA8GgU4MDBtAqkZs
SGf4OSdVv4lYAoF8ViazlOYPSpdvLAELA9KR8BMkmHlM+CPcuC4+VL5a2ysY3BBQ/UGwkJBOxlwj
ePkUfKBNFhZ/CvNF4/I2zwmv/R9oAKDzI4eHoSGYrKTH6UkKSPaxDqZa+b5yur3ydpgh/LF7B7PA
UAp1UscI4XyvKh/A3T6BGOeWZhrPrc/LCadVA1MOMJxU2WPIrhAGbFgMBaQ8G/kxISQt/7in+wcz
AJIWKtR6yXuTwYwKD0DDdy2K82toFvihfB5zFz3aQrcN5rNPVQIDOeKMNuMRaEx5IroPHKkjcAhy
8ShsapqYIrwyWh1PcYvDUC4wRWbqsUhbBHQv3pXQRQFRivtyLOrgjkBITMBmwaDZR7ADs1YUqMWw
HkFOr6eu7M9HGE4s8n1F8DFpEFoYJmAWAAPfvKNjv/o3DfQLIceQZk0gx99nQI/DEiV0PLoqwrWq
qd3/5uzMluM22jR9RYjAkthOUVUsLqIkyhLt3ycI0ZaxI7EjkVc/TxbgnrY0IU+3TxSkyQKQyPyW
d/nIzQpkC9P6pLVpEyGlU9jqXy3fr6v3bSonRz2nte+SjqYy4xnvfG+ip3k3dI0eigTGLbWLO9Ri
6RInq6gQ55xF1KoS9q2eg2066RLs+gvrAqN21oV52Xf0kxW3oH0/5xbkXrOsMBUg5IWewhyBkdcW
/D8NjcTqrVKYfNUt2uZWDO/BjdWRr2kDg2jI+TBfbTk/4u6t6gG+H7/gcKzZKC05l2aSms0scOpt
GR9N9V9QIza5Q0kFhGqABLtchGruSfSmsmpXygVqUShR/nH3HTW2gSm0JhXU5NO6I8PbF8dPCaEX
CgKTqx1lWVxOqNwdhjtdsFb5nde0W4awom0E2orfVOhC9z7NEMbTfHLrMkz7SzFL6hEAXF9Xd+PS
TutffRreqndn2lgjq5SyXJOorFLbO2UtKLd4gRhijwfQFNF4CvejoQFliE+TrrxugpnImyWy3jU6
G4qgSjLILns5F1YZ5X819APukriYQ+LxRdSTVuHjEMembitbocPsvonaWo7Q3EtB7Hi1BJh4/2iV
pCUnqVu7pMge1OjZ8106Npl+CmRWFd37Jt1UvP3CidGwSOcmFWmcXxGTFaZ8RdOni7OV0so2D85+
nuxwmljPJusafznD+0qekzLNc4PzVngVFwqzwTQKR3dzvG8nyE151O7llPBD8ylHVrZmy0TuONws
lmQvoX8euH+InpFLieJgX6ZU8X/Q9/Z1j0qplfmnPX+AGFDaeTyRevFXtZC9RLCaTkRYFYKtRIYo
7N5+fg8/JI8I6aJvjG644QIkwP9MHn2BcG4ZrOXFdmeItdyWQfW8tTQTr1br0evctXFek9Z+ftlb
G/oPaJGLOW7oU6fFToy165/XLYMGvCqehk95kcZRdnWauIhLIA8EEtZlFWrNx2fEqGNsnxwH0F9e
OIvV5j/FVTpp/cVoF+fsfu00b/vS9DVU7Z2TrRSu96Pre7zrXJcOVR9RLZ3Kk+XU/fIp2/wB0LIv
IRvXq9uJoXLusjzskMa6tHpOfS0IXZ13rr3Uy+1/6UHEP0F40jRgagA+gNYaaEB8n6icoF9X+Kr5
U9zqwBm+wmUM1HnFMM68b086XDRxoAAJCG2xock+lVJoZzgXnLfo86QywfdAcUyn6tgwDq8dPRc/
IDu1huXZ3tJ+QjYYzgZ0KPcPFlZelsPjNDtKrJfYGgBYk6CyOV9PYewETXHJp4z65SFAuEv50ixo
if2nCUmICU2eVRXiWx9agfKfHF1wJ1nXqXw4jwUQy/qouhXi52Jb1SCixFnJQqiM0SKqroFdteO5
eFGdB3B3T4cfL9ZdSPaF0O3HeHaiLPHJNyjwErVt5i13U2qolBKroWPD34BmtP/SJXxfyNIABpRN
VDB2BCvyvaa/HFURw8DFL54olqX7jY6+Ui869zLOmqlZiN55iT6lvFOuMCjyz8/A90cPJNRmC9CL
mjL6h/JR9sTarWqiFwBmVEv+ftY3rw7ZArCpC1ekgCcm/I+v6xk/QRyGsTBU0D+Pnt+tQbEKLV5s
YXFd0Y0Gx11daeIjMg6g9LD2DR3+8+s630FTkWtg7tg8cWxIju/r9jovWjWsWr8sDlufZ5x6WPLT
Ua4SoHJXPsoGWbR12ejGO/9jj+qvQfCO2qYZaXFFGSKpyVXvbIk7Ugf9BsQQrev8L6W9Y4rm/x6f
UPgh4Ldteg2bm/0+PsXKbuZCePmLSlHJF6eoys1GEEMwRr9TA5RZfIYMTocvJbyj3Z/abFPlH/R/
M7Xu0Yqk3Yrm/ZQXU122Z2SSVr+ehy40C/3ztf0O2ohclz7It7EPiShwQXL/+U7H3i4j1Tb+R3/b
FIEkKHKzi5TwNr6CeyZxFGsfl2ffnd1mu9rweWSWCh0OfcnPb+aHje26QRQFdInmv/B7cNuUCZME
a39pg7ngLNmzMMoGzx9DrjVGmgQ3tmuhX39+XefHVRAhgnwvDH2O1g9tf5ypTA+DINLc5P8t4kxz
lPEZpNXJnXwDH6J/mPEkUHvmsno5ai4EACZhTPGYUg6s0WYKa98pNLd9IHJN1wfbDEygDBDqLls2
F+/R4+pJn0PVSAoHpGGVX/z184fyf9iJXgRCad6tY+qF749rLLZc+0u5vByIbNzJOPgwOz28/qUI
ddB19wtgpm7P6Dn7KrsvWneculNg14aKy8a152mmwXUoBRf6llqyj4GrPulOhKl1ApUNPOSt00jr
mnhCxciP+kBBjCdhk/vV/BBOIqi8q5gsit8vixnLYl32YsFdfQPSFiI3zMEAqHP7h2Z4/E+uo8AH
m0T0nalLuNld7V0DqxD+lqRtYC/tpa5yN4of535BOaLlhAD57XgdGoqfwluj8DUY3NhKj/ZFOHhk
TkFWO/UA437DpUHYGnbzgSXXKicFnmdIIhnRO3XklHe1J8399XHgb+uVPi9q9JTgUBGt9ZA1dicd
qmBFNXwKF6fI/80r90O2gY7FDQiw67vuj3sz8PMM5W01vSytZ06oliCvb3WexpxToGCzhqFTo1NC
BOL/a/D98fLmUDix7ZtWmV79nwGCWqsogfm7lwPKFG5rNBPVHAVcv7hRXMKvPO4CJSwv/V+Cv/vD
DfhE/SBAfYAQwfnhbOZ4MDAm9cvHLMhMV4WsfDAYqZdhQjr5a6pVfOZ2NL1ZD+TAC3S1YI9crLiX
NBVHb2a5q8ENZwIy30w7y8D47c4JHOX8JmP2Ujr6gx0iHsoW9FSWf7vqsbMaURuOY8jmqfHvsUm0
zZLExkATnCdnC1G806MSNYqkLlqUSf8SIX8IVAFYoOcBmBia3vm+9FB1ULkj5C1ykluIoh0RvPKD
rPZoV/u3CjfM9BCgR2K3bEHeqpe1Qb759i/x5btEJwLkVoRrcFI3woDyXQOQOqr2s61WnzHAWBnm
GrRa/dtaYWo8j3HEfvz59ZzvRQUiNBVA6AvDkiHF+a7yXy0/yGQ6Z59zkRaed3IwdCxe4mygV5SM
Mo+Xr6sIMY5O45T2kNDEulqdKhuMAu13B2Hzb4dT/HhTxnxr6kG4gR9T1qjqaZOyyT9ncWYiyeah
8UG/CIdG+bsXaCskkXrprJk1aYzIG5j4lmdIa0jr/HxbTeYFo2AZA+3TXSMcNW9vD5RN5jX6NSwx
r3ZXHfIuPvVrCv18QmVr6Na9AO2pnTmFY4DJ4eXgtQpvNNs8aBq2RI1yrmySfFw26PcmgKhLutBO
w3d93E72dsqssPPPo++Zo92HxUz/2s5FQxe3rL1Jxd0Qm3oWTb/D7UUzjkz3pHbw7uev+/tagEMP
qQwh71ARMBXqu+01T06BzWx2fzk6y2YIp+VOFjaqbVrTDXGU33G8/60gAg/+x8bGI0yYo8J2bAh2
wt735mR7lTW7fXHvJj/XVpSEZdYKSB9UUj08jBGo9kClRRwMJ73GKs0uiHJy+cHdiZDAo9dCOxgO
jvWGzwZDDe7MCNTn4HUOynKR9D5L0oRTM+Rn2D+OLXpBLYfnIQvXzT41IW68kvxqGya2Xes5RC8D
XFO/r1f84XBsNE0YMQ6apc48Q22KpVsIRHFeDW6bzIbofDuALVl3bW+d1jbWznLtwITGgl5l9Ltn
6SCdQLwYu6P7FYa8lvKy+Y0XvlY69UnGobDmsbqgJ0Vt89S7qc5txKn0Qu9XGwooO+s675AOt35V
yPJab3GbPjsmQ9Ae+LG1DucqXbp4e78NI6wqZRPGYfcEnKmz6n5bYOy3B3vkjKizt2L3M5rcyaA9
/jhGyvp1Q9+u5Gn0BqQFiaQgsT6L1bZ9eDcZDxvCbgAcN7wWkV8T7NctmjQFmZ62OrsUy4h4Nlon
4lRTziZlpbYVo9sVGhFwVqcrjre8ajnE56GfVhUlemeSiwAokYv4yiqpCK2NEva8qDHss9OEqyBr
T5T0eek9NOBu8/A5A38pvUe7j2l6X7Qsy6IH7pOhPaJXQW38dc7Var9hPHSjh7kbHCdD9pnWc37q
3MgkuoN+nm5BoojwesjLUKXzVr1b0AFT2eyw68HJxzuhbfFKiTxTnwJBL1qaQmiqOoNkLTOJaqSu
Wf25SQCWhuXPnQnMypbtmYcob+enYAO2H86rJxd4mDKyyn8rt2kX/3nGdkmhgGYDx/GRm313ujna
bRA4mBUWmRfektRdnMnysxOmIcRu0+bpfYh2zA9y9GFtHQ8d/b2bhvdrDZd/Vo4qqic5EQXP/2+z
aCyabH12/69F1GYNZg6z64useox6JWtZnep4Gu3zPPD/8mvjVpb8UFZIzh6tDtj2cFnmsli+piM+
mzvPL9bmUrvO8Il2CZdaD9xZnwYdUZj+d4el9NK4O/dpFk6nYlJhJs7OhDj+KY7b7v/bYSnKNnxH
c9HGF6SyXcTDVuEvdTs7/2uHZS0s5eA+EsU0Jm5mp80CXp3DrL/rSVdudEagq4v4hEmnGe13YHDW
n/GSeVcIOrzgaa4vXcdmDf0xuu9s5YDd0GQnEj7gcwD4koyxmEGaY/0OY5rA9FqH2xe7Fvpu6oWQ
p8Wpxw9L0XcfU68bnrMq03fVNvmfpsjyrngr5EWWnaHifL9Fg1+1VzxHWDN1VxsIKnxGlZfddzDy
n+3O9/+zuVH+JR2n4WXD3/kuAz9/qMcBv8vcj+IsC+kA3K36EqhSkPp0qR5sb5qfJHbkD9IdnYte
hxLFsXDB3ZcuS5BhbX920Vr90iML+tgIe3oEZc/fr6HdVIk1lP0FO5p+src6/gXYuH50stT/iBdz
E0mJHCGpsjp6sudSfGHSxfAlhpe5otuwTos/pPf+gLkuUW3QnByrsUSCtg779RK0v3TT2soTuDME
xrZYXzO3kO9i2RWnwHGnX5wqcM9rN3hX3LDus+tl1nnVi/5WDal8y4ICDG9LrbNcqiEZdeq8OVAA
96Hcqnuv8LcPuJqm5yAbu6sDtfaQr+WUeKne0OIXUXkqBik+IrWJ1AWhTstVnPRigQ88dZ3YcELj
kLyL6ir9K6rUaxzI+c0hvV2brYyxrHpWMk4+8bCo7M9oyKeLparog5+F4b2nMb+dvJEHyJrA/xzR
d1Jir4Fjn2Uk269zU/pFQgUl37E1kWbH3YoT2W1PPfgspuSoct5lAFFfVSGsx94dolNK//jgE05e
pCww/aI1fQWL0onUS/k1b6uiPuHoUx97f8X23aUOxQ9cRrKuizedmrVu3wiojZe4/FMmJJ7qhILF
9ZLNtfrfNiuc73zdlQ/V3M3EjFxXL3Bs08tKskk0SqDrjAQ0iZTX/hKsRe8maSOdqjpZxYKTc0xU
p5a7Gh/lf5xwat/n8IMXa22W8JwuoV0kWbVmF+CNVzTfC6YN+WsOIfWAJPOPZfResSkoxGuVurPm
sDrp2O1xSYSd9eBMfRW/i0Xa3PNgtXeCruneU1Hk8V1Nb7Sc+94lJedWOeVJlHaE11Yg+nSd0v46
WJY6rbGPlFh01n8sVJS4QAfcVgl3Vf8Z6Na/L3NLPEm99b/HjbQeMSMuHC6BgVR46+NcjCU+r8Bv
znTA/X9WcseTs/nBF3iW/qXBSy3ObV5NmFXX4NV1xmY4p6k1PIaTj8MOS0z0zcqbfAM57SZwABeR
7SX3x+K5Vx5+AS8du3OHUbJNYlyNefSbaFZcbeOwwW6xwo8o1dyzLdfpIdfB+AnXr3WZ3TIv7hY/
tj9lFdKSpI2alAeSxBJUAJ8o260XBxLjm/Q2wk9ceO/QQzAHgYW3H1e0wpfIm5vPAP1+opSOvqae
zL5UmY2bXyJ61Qmr0P3ixKV/VyoHWWGRDvU1k1HxOwMzxvsQC/GbGL3xQaRTCHKy5qc50G6NOaFN
OZr12tzBUPWPhcv0acB46AVRpeey6Io/oy7vT7WKopfBkTHSaZHd15FWp3oZpws4bfbU6KV76ovt
PTeOAS9o/ui104JwQHPJyiN29950Yb5NwW/5XfxYiSl+X4RKXLYCj6XXr1mT+CvDTErfwqHYqSAJ
O/t3MDjxpCoVnsLam65r7KToezi752Lo6t+0cHPEa74ck6aa4vtOLMPnAKwSxqWqivdWZrknJjbI
T+2glvsgtvSDTTS7rtuW3guuXZ7DRVif8mhZYKeYdFDfqbIq2itGn7z8ZlGC69d+TAOICF1EdJSV
dgy2UOjeAG1BFdA4dZpCrTgVSOSoIt04K7L5Q59XSF6ODrTrFxriA544eqFxbfHEfJqj0XA8FQEF
ZczeokVY9Ol18saB4b9M0Fd1fFJ1turiNazZy9O5RMTMj/g79k1xZVql8IbDa3CluU3sbm4qTPgT
HOSrKqas/zX140bhpb8p4WLdLpFH2R/15UPc+i3mySk3eKOyJrjs09ggyzgzkWjRz+hEsuF+SC2r
A8XOOjyVnLqgZezEPC1zksX+VF5mhO45VvjBG86W1RoKLsVi/81GM5A+ornEfeaKihLPQqC73vWh
6NoXgem3/G3C8Tl1wByjLD7BRqeOc+o6rIz2EwCt8oMrmFTWYwRFE4FaB/d1uV2mJbUioLG+wvtW
QJ/md+lakrgSmnQ8XMuooB/qvdkt47rNz7PDLInz7uKLb4xJr3W3xQktSDN9QzFTzVMy5fbo//k3
WeV2UfW8+n6XPW52wBGLcGFf0yr1mvo0iUoHXynIwuIyl+tsXfveqdqPh6y00UwglLyOrNWve4cc
d7pn+Eias4xhvjjjX5D9RvNvb6tpF5TP7JUck2whkYLspXFhWwa3PVRBTYVBikBqosDLQTUdOqo4
FXUQXFKP5De8p5ZiC680WvT0To1hGZJudnVTnnRkjVt2hQnouGaxeLTrloZqfKhvupEKOxg4963s
b2vPqJG3HmFBecc+N908DBN4QNPPNV+gCjbfg3E1qqVDvSxX14jqcns1rKBdkzpe9j6iU61RZhud
h/obUeyLFkTggS6oC8IHe4dlw7wxexLXgssq7ndTeRHvtt2h/5GWjg/f2/NpcczHDlmTtnhm+UHl
POTh4i/WQy0WrwAlC1kaeaX73gb3Q7rIgTH/cRAO5RN9cb8AMa8wFd2jztCQLyfXJvk3lxkhJed0
F123aA1HpCW5im4qVRl2HEZAQ3OrKeAfb2pLHQs9GxoD6TpI9ioH7XQjfLM8so/Ybdc+X7P5ISvQ
lrzOozD8TGBHLEi1m1AmTKTAKplLdzBdogKq9xsKxEwCa6dR64fsHuNxQ3oKrNLH2ZRHDzTrcOWJ
RPI+Is9fNQDN1WF6wIZSdF+rXrhKMQMC57cLfQbazhvbzaWL6+pcfLNklYs8aT1qIhtP77TxYuI1
u22fdjDQUSu74PZGhNm5/v6aDg4wE2sE896kUuMGWPLYvFAcWrr235WV6DA7Nkz94ddDr2EJyqA3
+BGdheEMA5U7qrw2Kyokap+0GrCwFdDH3Ipw/Zo1dtpo47fXm2MOp4TZev0GOvG27UznrMMplCeb
XZs1BpjqxRcoQ8MvT5A5dn4qSjqHZ5X5Kpr/yz67TeaxnVIY2ifol4UeRYk4t7ukhn9Rrwr+YHyT
m42R5UneLKl10BjPw+iGYcFdrPDO4yn1tcGp4mKLN5LAvKnfS8IC4yuQoHRE5zgvm7sZg8nyO11b
8bU1Mpn1VA6xU32y83pGM6O8geZ5HPpSvOY6K+t3RYA68W6gHwte9lgyBYPhmeUtw0xZYxVfLX/R
PMUy2UCu1mIDM+yHrl8Ks+ZzLwy3hvXZoGbMLzEr6tYTgeIgb6sJHTpV7615x8nFlmy72Ug4EMiA
wCUgNAHgXcQ0FIYtcWr939cQYukPmVNKv1X+ZBr9wUWV7f99aG+StB0FGlPbJ9sFfZ0bjKAT7vSp
2WTafO1cqIw5qbdZbXayCRRBxWmPRwdkWd6CExocczuMdln0lUECDOtKw1Z09IM3/LeLV9iJfYmG
quoapjKl0cbYCebsNOq3sGhZWmeUGSsldnGjvtHJO0a5Z+wqDn1WqlUMk1oT83cVuBsPQIVvrqlt
CMi1zQhqe4w+0vyGwfOFsX6b9230pcCVa6PWVy8x/Tq/3+449SIyltXdQqOIrVFwuOqcDbL2P++h
DGVNyZk4UNA6sqEbxx1AMTSqNX1Yt8EEmmYazQ/O/Qpgm+I66d9mtzMHCdzL3KKjNnNSuwUWav6Q
Yj7g9hnBZr6ZKoqAPAH4MfrifZsAm5mfkH1nHn7X0iDZNemHEVS3+NW6SsqHcnEbhWR/D8SBbW2c
A+07hkBzMMAZ9HFJC24ujjfzuvb9MgmsI8W1LNaVkOjhHtOvwbIhxnxQW4tT5pRVMdAu9TwO/yC8
1H6zEU56VUZ++LAEtYkEQIOm5slqm9i3dbGx2LdkH+ZGODWGdRDNIDAbfOdr/9ZjbFh7B/o5tH3l
3WqM+/iDbocnzG2z6Y+XHSDv0a/SiIll0g+ZCTfBmpr0XDSjETWFMjQVnlFEqheMETetEWSghZ5S
oyCl+J0J+8/DLccJXS3zYEbPMIjgwjQtWdePwJ8Rg3CcEbtW+7GNA6VgtoOGzX8F5a+YOeEwCQR7
WtXkC6qSBQkC8rtZoNOMo6Ty6iIo7/HIGTGNDkCUJfznYE45pjuzWwNbenl3qhmkN/0x1g7O6V+8
QTSiOPv2soXrneNshiqwoZBZGa9B5/cml9gIzbFoGMYbNsfjn6CmfHzZbdVWPd7y9w3kz2hAubkm
pBx5G3d5wEFAwFqaBVR9ayqALihIV2m1+LzOg1XfkxffDzwz8oZoNZ0Pcm+Rug3zxIKsld09ID+k
06NEAcSt6Trl/YjJ1pbnJ01Ti/q8WLSU53XtMRG9R9RNa3rOvFwxWeMQ9kLZGYtlHIWx5X4pp4hR
o3fLfpKPbbwf6DZfJi99ZvyM0owQQhcl+99HR639ReJmWLZzj2OHpzgqHW9//0Vjhd70hmT/tr1u
hEuWScnWruLFZ68F4ViwVrYYTNTNEcZSmKlALByFLgAHein2KtxmkAaLfixgNZRGjOmvtclMch7M
CS3THFVHUihIdP/c7VTcyORFlnCwSoRwMNZjmdKnDDnbJb+JcWbBcMPwZchaExwwxJpENZBK+cSm
plVFHdAK8xnFEig++CCGrBF9AvPgdk0Evb45BJ2NLRI8Uti0Li9V1fej915S9OHubEvLfKZDCub3
Msk0h+lUlfw5g+ysENXy0YudZuh8p4YeSj60wZYNKPAnqiNYHYYSMrZEV3VggTi3em3wSd3K6IOk
bweEdNHDYnlFOJ7/Zr5wc/FenN0f1VO0cGPyVgbvGXGJF5O8LR/8xz9PEWIeCbDfGHZ9w8zSoTXf
ROUOX6vKN2KYo9wFhGGU3gVuK58f5LCNbKRjzwyda4heRox5fHNKB+Sf1yhO4RiujIsIq+ec4USU
Y1Rl5tgoN+UcRLVtDtmxrkgEzUmJMXBwIyqdzOm1V8IJYwHHMJjtsxoQ8janPbcBpRsh3QYYuV5C
j2mU8lwGXol+4tgzR+eBWvXWgIywxQ9H2C922tzfdZkIo23u6miTNuQ+o3Nu62KA/9g70kwi7yNT
l/nEmu1J/jjTGBr3Z6cnLu/6nZjbnBD/RLJg31qqO8lktvnhCNgMVjQiVR6+QFd92N+arszZB3MJ
xrBdw12rFG2eiboH5Sc2fCnQintq2ylmZlqZlHOE7HKP7bOdz3yzXNZb7VCWkq92/rnIU9Fd51V7
q/PQ3arvqBSai1idh/XnKS8cIt9l7pHTlHf7Qu9bLqYyZI32b7lLZeqbkCUgAdiNyZ1/v82ZoV3F
NRtG8/JtocCbEqTk5HrmTJlo6s2U91RSLal6A8WbrSDZdBxVIIxeHrRdksFsAeMDOdkZY/FvgpT9
PXhTZF667Y9k+SHKzK2HN1L1KLmPRB4jaeFScaVMLj6+Aj4wr+iQHNAQmgTtjH4eoRmOROYjVdgP
RT925vn/lhLmk8n9FeMK2a6tUqaKyRmEwRIMqC5NxQzWwvUO68hxyxOzIfTr0EqThT3mYejXPEXW
Z5RUkHyUULcSCJmu2ep7Hgh2QAOM8mZK0xoDwN3o9Wbt7U1VvXHoC+MNoLUzm9beW1Kj0GW9M1ea
TuxwYS5OaHCUeFs7Qq5m6PCKDAN4A6nRMivzMrbdOClBsLnQIVpsotAoXI6mV/u16cwOTe48d+Z8
zijl+UzTrpl7udUwR7W4xCtKyLMR/0g/mdIVAVNynC36L6pxHBEm+DOTkIptB20yLwLBPPmgg2GW
hKQb3g3N6A0b2ndyY7FtaZJu/P2qXMNH7sXukboxl1NlikHduqEcAxRl2K7E3ZWSPagGGya4QSPu
TXoLTWCKvL2KGsVKWGr2Sj8TnVHWlXukqMp56cBGKW9S65HBVmYruM0I/DVnWPZM8N61cp5/Q8v2
vX6sHaOYFRfe4ZbjxO21pipu4vZtF60exlXmdMFFgPqb8ilN8YW+tVVPyx8SyMzr3eEuu+huMNme
Qw+9sN1VS0uBV42WHhEm5HP1PpxrhqeeelvFDlWPaWdkORiVw15qwymMbB5/XzlPR912h57aHphV
mc4mE4braspYx60NUXzgc75X3s4F88/QMN9ulkS+Gf1Xhqno1YtLE7wPCQR2LhPf91Yg2qP8sdTI
rW4QBigWbz0MRqOlCVWau+o5Ak4MxCnYLdiOSy3vn8HsFDlO7J24dm1GPT0dAQhJtKlLdvxrb4As
hXDgGZMGk3fvIJxXGR1JpBndoq/gtm7To/4hynaL5nbobLghm4J1Mks0epUI6xZrbR1v7QW5oWkH
DkTzaOnpxUytf3xl/koAP3K82Wr3/HJM6RL37XBAmPiRt2F4RU6MfLcZ8Fu/HJBLl5VT6CJhVvZd
HlhmSWHhblKV20beRWc4EScWr91jFXglVSx1oo+wz7PG8bqflEFF68hYyqqSL7TtjNKsexSgUSKU
xy5DfGk8UsjoQw7FkR13Q8MhpB7xgBIMCiaFFc4lyEc9LI9O11CrMITGGxYsHVY2skmPuBeuzMYv
ripqTNbrhW3KniHoTIXT3Wo0ptuZRHXgKZKmzpSVw2KO6tEqecFqyga5OxmOYBW2qTHoDSljmFCQ
7ZWb9COjms8b8B754CKJ5CuMZYzpJJFia+uoMm/TEJh2Zqx8jh/lk0KPn1ZgTMfdjngZaDADZRlH
JMyyeaAs2JQ9XNEAR852BqMz+rvaCRk4HKKM44vANP8sH4fEbNIbOB5J1MJvnrYcnopDbLT56w04
3LG8Q1Rb3Q5RWAL905T2wpQZgx2Y4tjonM0RbFronfO0Wh3/9D2hjEQ9rqZIxnVjdEDgpZrH9fVg
tsJRmCw7wK73SuoQhlM53j7TRjoECrmXNYxuNTHVwvoewohNJdqmkwdrA5CgA1Cm+9WfQkrHo5f0
oIW5lb0+cG4t/jw7jZtd8t4RU/UL6LIpzNFmmS0Q2SgsJToxiBHAUFzwUYrKA58TcoAbaJHXVtDz
g9NN08hoQ8Fz7z2zFOKGkFXYKGVSoLAhuB9Kq+NQhFkDyRCD6XL6BOZOFgaNqqn9RtGb1nZo8y3k
ZFYeo+cozm4AxJ4ADqNOrMZsvjQRf4B0hHe6laIH5Gzv4HGARpNXmO9VX6TCFhIDI4RpBhhMZfpQ
tU89W2cvE/ZJru24La9WjmyUjjJqHUc9agf7BzVT0NSzfu5wvSj//RRn8RgbrFSnXZ1/U4NNDXUX
Vq1bfpoq1DXBNXeDxY+wVDnZzAieEOkVtfug5/lUBtPWf8N/Ixd1tjA9Vu9ptRmdGnTMyJh/HXFQ
iOiMYS4vQYO09sJLlwIOXfUSdsyTBI1ynscybPsnxgkyUuEa13TiH7d8mb2Hdmtl/cqcR+sv34LW
fa2DOV7ugnLU8Jplw0TmKEM69SjXfv7N7vpBvg8dL22u/G0HPaOi8satlNfKjazNv4wM3LqC+eXz
RzWwt+4aN93sKyOAV/3k6nI5Mx3QRRkk3ZC6ICP8IjcRsdySyY/9+WyvCv2XN+br4+AvgQSpob9z
3rW6bZlNhrgruJug9eYkdvUqnxibr22Gqo4xsw2TOcLAV9yJerVwgRbSmp8t1MP1Rh3rbilbDApQ
WYnfpmvlYdRjNl0IW2tJpn7OmnFkqJCiclxw1SEsE+okCxxBzBJm5lJAq0l8CM42x8A7M+OMuaMp
Fb5LoZ1XSxg/OkNRTEHiLY6tzFxAp14/MGy2Gb5Kv0XVEi+5vz45TjjLu01sbouVsrbvi7JsTuy9
YfnQMQuie+hBPMVzzMhO64lp5nP3B2MFx+6Pzg6CEozTEtP2e6PRO1UXnLULU1LHGXMgyLAdhW9B
zRQMC6HirzlvIkv/xrG7298DYYsYasMncecTWGPAAPB1Dj35u68prwDRZmUmbOyQ8w4chk6WWe9Q
xrjBR0QyrEwyiHiTHjr2inIGSTA9Q7E1jL/LoF6Yk830N1BUuYdlCxELR7XbE8VRKO8lvnsLRQUz
b5dfI5B2moO9RJJZapC08oawursFa9dv8md9wYAVf963eoYJpITaP6Tc+Uuin6nN909xnNvEE7xX
0BEHl4EDcY04YZyDlLHCN1vdkXB2yHOnSFPP7W+x2UNtdkJCbQ7+LIGyi1PYlBaGEldr/0u68LcF
og9K6NaKLtXkUG4WzDAmf2kHpd+3ETeZbKHUTCH6Xz2bKY6Y50l0GyMp5eepY1DlWzFVQfrnyoij
+UHZi90w2noS8q+d3tyfdjtwp9HM/mDEMh1wsa0FCLNf/x/2zmvHjuTatr8i9HvqpjcHpwXc7cob
suiaLwmSTaX3Gem+/o7YEZRYRR1SOs8XENAqVm2bkWHWmnNMc7RpBg0lrEazWI8N1UURnvCLJotz
cMDZ8okK1ffKzruShA9po+EArpLVt57I2/BiXUakmTHcyNp96CyRlOsFwJoR14zwOE4M8DWseWBL
IeriwXfqePsg2HjA6/IRUoJYLArqBUdnLCBifbJLO7eMi2Yos6SZXgcDTx90l0h9rGi6Sale+ZOx
Z8FPm8h0DlmW4Lred+1UJzuAx157FH33L8nGHIKSnC2AFxan/4RsDMim/OOfUOPGDsUXFp+xVVDj
mKSe8fAf8IzDfJqOYo64EUfqy+5/xjIOKKY89bDRb2Yzd5+xjG2v6u59b8k//0uWcdr2xmUQM897
0FynS7u05h7fguOYH3/NMrapfv9JDfoXLGObY16NlnnOrb1CGPd9RoXc8icfRKbkGGe0tfwrz9uy
Aj9smOSIweAYb8AygabapNvs/vcg49Bsgo9itjIFMkai7TzMi8Uoi/z4FLXQL7uudK/tnzCMp20o
/jAst/4nw1hUfvoh5jz0kmHseeZycpzF/GhXdvouzjx/70VFdpqNLX6d5mh3gn+fXjxA+V2OxWT2
X9C+AkP7nlvcFgkzS9xKvusLbnE4Lv1wNIVdwRuOaud7bnEecRY7/I/I4i0R6AbT1Xuy6q48iTyG
fFQt6LjqKiF1YvxXzOKmw65xbNnBvfoOV5xOIR15J2+H/vAdrthcsC/Rif4XpGIcQ9WX0nBW782/
BBXDmqvjS9OYfPE2WhEzeXfhvARBeuT4vUX+Gy9MqG4X8K8mRPQXpZsi6IX0QAOV8CpDpLagitHE
lnPcVkrBOMrHannYiqQY7+xZAmyR57TWFXW0wvq8rmO0fAPYJhOKDrELLO425habkjE7O/gv1YNp
2lXBwo8oz1yqQ7EafrQ5O160GvKHDIQoSqJRNrqeg0qrOhbB3Y900noCknJhr9n22Iz9HOzMwhse
YZ26TbkHEpZC/vseQ7riVWv2bUmv6IAnYlwvmHc784phUDqPuSjJ7Tj93AXwQicM8CxwPdR/eE2Q
mSA4ee4+sts1QwvdEKxhmKCbv9JYG7ryHaii6ldJXdBPnouSbXTIduAHJIbiOJV0lucv5i6bHTYY
3B7Tht5PtyvgkDAtpF7bQn33UndamsvKHm3scIVnIthIktbKPZrOQv6nLeOGP9SNPsfsFyT/Z4LW
ZDmr/LvzD14MWtHb066DIonnwvX9j74tHP4tx/PDuQg4iOzaiNFF73bjYg1FSj7O3O/2QdCw4C8x
qm28jZDqhvFkAeCWNadciOkds1C+LccpR7GIutFweyfeZeqNGlRo+WDBYssHx4kZlPdpiZEeovJM
NIIN1nUz5cfjWLGY6N6cgUwBjeGqwQz18cnrkygq39bqi5hZxZf1PfduGLh72xqFCQc5CKdsva4Q
pfnixOj23O7GXwYQYq8S4CN8gNqlZeEe/b5I+c6yoZIHbTKpUqocIMTRrF2uZi5PWxNuWr+69Jah
dcmGoVkDOQWCrllm6OAojtqH1I47Udwm3dxxwTZstpl5lWLK2+LH0vUzKz81k1vG257Ok+SopOUM
ouNVzP7E/xiXoXwrmVN70JQKoAW4LfQ14KYa5FO2Ljua17qkFJmFD6KkLuYhbY/UrDfHuUdcH7bL
PuIcCoLUKayNraHRJ/L9bTAzoGJaEZK/+EoegrnkUKv5yEA0Zo5FgwlyxDmkQyELtBivZIe58RpQ
a2oIGfgWuTCg+iNhHOORzXl1aEBV9emxbdyOL9G12oEROojSqYzLIqapUx80TogznWXG1xmBucFy
CVYPvtIhEUYwJHfmZMOv2/UkRhCyUqxEUgX3rdktS/qGhmlF/8T2C49Xb4Gm8G20gaCReAXTi5F5
lbW05NDph5w5zN3krJELsb8drdtBAdLg72FgvFvGvPMujTxakmNiu4OfPeSo9XiPIvNaHvrzqYML
/vJ+DjAQcVc7LmmLPrCc5/czrw40cimbxwlfntvTIbcdw6EDT7JRvetqwi4QPo8+pW5yqSSzj1qC
rOGGCuO5psLyKsghEMRxHNp+m3TBOwOIYZh8mGOGDlUFxzcivNmKX1LQwPEvOjThVbxHUVIPzQG/
sQHdnUUCBODV0g4m3+4EHoqOFURH+Xoak4o6htbh4sUUDVECSMbqpsCuHk/B36UTySruzqK1b3XH
1EW/C5HcngDmJbNRwNSiJMuGEwF262ClCeNVnqMqY5JwlXIcJGVGc966vC5hsu1QukWM5Zz+NuRt
WGZzO96UluVU0bcHrnbZEfQVj4zYio3MFKzdAWONy3/YSY7EAmxWMNfvdYcjcdqpak+L41UTLh2D
UQ9vURkuUxu1P9KIMzBI8xmxu0gGI+WjuH/Y2gKmKVLlooVjWOdRRwkU3csZr9QMadZUN72cidP9
6q/SyqkdncOWxEY27o1KyGIIc2fVJA++j7uK0dlG0wjKR7s5NTsw9wZ36x7pRHlWd4lxRrKM7G6V
tUgsx04fHzyyukw0E6BleLhGIMbKStrVCIWse8150q4uu8W8SLuMNnJAeFUaw3Alz6Hz8z8GS547
j/bgceS6qgvshChskzNeJmLIrQ4EX4j+4vrnd8JzBy3EBmh2ZHsGNnC7wLJfhtv10qdJcMx2n+Dp
oqDYnl39ShWomwKaWqGlGD9/+eeeVV7epsDDcKXoEnlU8F7chhNd36Zyw+Ved7e1DEpbV1XvPckq
WaPDFSRvKl0Q/Hes/rZ8tX/yGXg3yGtA51oEn2GKd176CgGjBLINmHPZXLGiABoZpOwUM2YD09iL
ipiq+Ti1TcO9Es3SK5ZmtHrhZSkNgx6tAJniIH+ElgD0aZfyOG7XiJ4J950qCODhk54xQeMm+ySa
MKmm10VRyyVNg7gyFmC/OiZM3Ouv7LLgSF58UhYjCCXM58DNgMe89Mu6tIyxv47JQ500EMaObEfC
ujmxFWHYHweAENwXlCDkSoMalIQZPYVHTdpWIbpcVrDqyg67wssRHAghbkdCR+pT7Hs5j+V2WQBc
OxPRZarNqKv0qicjSnQM3kGrpZTiNHCBg8LKjIjgoz+qtAxWnMv6L5E2tD72g4GRdz1SUpLfVCh6
+SS+aOEE7IohtWgv2COVksolW43KPosHBddatQ5z0APg5AAOW9zDiINkh7Obc9lyNGZTqja04BLJ
DlWh3GSKf2B6tL1hV4MqWG9tJCrUmkPD6FnAy6k842+XxFmRZhN5kokdHVlcziet9lJNYXNO4S28
cpAlFU/4OhFHKSfuUlHxp3Mh4ZVyaBdOv50EStmmOkYKW65lf6swhplNF5ehvVHWYV2OwnYoGwJh
1ftZcz3NrHfNgZ4HNabGKMJ0JnlrAykhbpKtkrKKIY+knkTp5F2zPauoSMviE2kgiVYc9h09meJy
sEpUO9/0oONiyxavarPnjVtGl3VEB3m9zlX3Wb/hoLOkCGXsQ4noHuAo85ocz2THqrRJB3R3VV2W
vWwPNWvs7r20EIa9a3KSicSDZ9ZwvC9CSgqlfbK71KWbNhfE4VTwKZaE97WqL0/U0cR2rciKJRF7
NBlrZpzsDFU1sKMmkCLZEY0zd2CeUONIXmXT3JJ3SyqXn16lUMvZ2LUUq3kBLa4xDTfn0az4HfvB
NaID8HkiAU0ecQiWM+iJ6W6R3sWEzlTTsluDuOaNWQ2Lqn2pv0zbgIvTH0NI9tt4YkoPmeD7zZBb
QP1w2xQDfU2HX7rZHodA0jzEQQ/2T8sTncCXDRbdsBoXifnZLyNaqtdrVi1UdZUUQbefWCQZYvoH
3fmBOCCv+uguyJm0LF2zrArLQLR+adnhNi479K8tkn0kiKH51MIzKdhDe3YPLTz2bUk3bAxO286N
l1h09vZaF61vRjIngynYkephGe1Ba3ITdcG0okr1VaIWNBcdOVFSI1h3gxprApXs1bzmQxXiSpAN
npVzenLejehdQqk676qWOJUmE9IJ1k7mdfsBk238hBnSms3rzq6p/x/pTM0z1QZ8MAwdb+7besRF
tUBGvm+aWjYO8eMXIxVXX4j6c3meRmZuS+YD1v52wRyWbQH9ajTIyRaHWOHYtSwXQZpA+d9lZpUW
161tuF17KBszmaL7kUMoY3LkvM40lId+h95pVowOY0VCwO3tMRYhI6iusSrZmuOGgS/da1zWNJln
qRMIDrYSWhXAwiW7ZEQZbpC+6qiTM/U6C9nd07q3oiexmsSQgpgF+uN8Rt6E/va2kSC7/JS0nSmu
tnYIH6E0egnmAOVGUCrr+bzPrOJWPhKBjLDYYNKDsc1jY5Hi2u7EEE9oAyujz2pcna4d5u0TTtaN
BxTsM2hEF0IkgbimkS+FGxLQwvuOabRwRxbkvskbWvGhdKvbqUtrJeXMX6JPLv704s61C0Shu5Ew
w2QiJ3XAAwxeJ518UoP0bTYbcyzlhtncb7jadkveZ1b5SFEqhQqACuZ8L08hoszqLmsKOYIdgEuo
VjNlFQCtbQLE7m2ObuY3LHOwwdezC2rSqVS2tlMkpVFNbrISnYIM4kAS7ZSIqvMEGksMj1LXU+DH
YCpI+LRMIar/0GfYFYobn304Wpk4QokavOqsFtUzYvdI/k5vx10ltTGofk/VvpnsvAzfrUFAlLOW
Jer3o+UwSjCyxIZLx09fL8JtZAPBwl3KuZgygCEn7BQonIxUyEHZjyf6baA57jRIls5lJ6dJRZed
2lQO0Lmm1ee8biLclR7NdcDWXxMpBf0cZ5IfhnoOkfVypoekSvmNylPOMYNSYTI9n79kpn7azGFO
8Xy+rSoaVfllu3DONY9T4OOi2HsDKqCZGNazraRViniyoJELqFSjNdqaUPrMzuYv/QG1StBRUi8q
9bLdrcQ8eopRgist+dDLZaykbp4duXz7esauxCwFMuYZV4jFR25AOmV8QO9oyt6/D3y6fpyUAHxS
3VQaZvLAUqqGhLbPCLVAaqkBxme5f9FCpazHeQ89CToCV0hXDLqilYUdr56kZiDxxrPOxkdNxm2O
Lp5PpQ1p9JdkS7dQM+B2xrf0Z7Wv1upsLqZmRl0QrNDbO0HrJzzZRig7955yAendPInKUuZfLC7y
YXs+gyErpSLTzpISYAPLfuCXUuSsTTJKgZ0t8RB7VwOzprlcE6EVw7TUn1sPIv1lfBOxoAGWF0fJ
kHWDWn98PQlHAbehsxvZiBGTnMyglNjGWADNg31qA5m9kimilJhmtfkjs3lj4V49O6+am2VsjaC8
9XpMWDRXvS6evwLEYbI8lDF6GJeTVRf4H13+kb2sqqF1U+w4w7Ho6fYEu3r0ZHUrYefPo6g1y1Ja
GFqyfsG4IL2sjIW8NHYSUhganJAG226rerQIuykMZl6EUd1TrHCbuB6jO9y+uaxfoaXjGXuvlP+J
3AzALRgaN14+ORNNgI8z2Gk+mBbPUdvlLQIL4+2OjuCAjW6Ynaa983O7aN9ivJB1OgfvJm+XLE05
clXZiA3EwA+6UKTT3tq+lTelyOgwGYhXYqnQ//kp7uVpArUHOBSQPxyaOM2dTxvf59OXfY+BonHu
54xlhlS9MlhyOlDn3qirxt1gz1uTQeKdcicnClCOu5+/ix/OkkAXI5h1PvUvrspLNktgpobvGoN9
F579S/rWKVJGA7LR87k2Xya5zdUiwkp5JFK1M/r5m3kBirEtkHmQf9C7WGR1wIR5Xl/K42bsBi+e
7lJvkXatZWKXxQxzFolqxwaaADz/Fz9/4R+uhUcX3XLY5VMWt6hxPX9hm7RqkUauuCOfXS64AaZp
SN0aqCbcDrqg3gtMmYjwlSVq3/7zt/Hy81NYkLN7YPElcJB+yQ6k3zUNCfb5O0IqVNUylep7SthS
28axX9o09Fn+569sPU8+AoQm8Yqm7QJGoysQvDzbYqhKQD/Hxm2qPCFlEHPuOYZ51/aYSM/+KS1O
WpRbR4SdnI+1RsZF7Rm/sVpkDb9CQr0cojZc85DynYPrw3G8l+UOH4EJQLXYvNUnbK1mG89eQTVE
ldXhm3pPuWU85YL5xff0stphA26LXDIDLNBpEe/p+Ujpfez1nksiLX0jdwPhrARb6Nkm8/WawOMQ
GHPHwPxUFr4sR1sOEdqfOgEgP9lHHXkJlKGTIMLt4k0lSpJf8DJfNHhI03Adzwkc5EuBBZRf/v67
aaXzu9XysOpfOhbo3c9aATgiYfgVr+xFRJBH9Qu5hU24jo/WmW7Ei+/CjE2OB93m3s5VGG7pe8fr
x7a4gi/iQgVi5WDqDEgYqz7YXAuqP8uUR2ynyC5HwXC/BHAH5mNNGScQ34hLc4nti9SyAErYR3aF
mP21G4hPHhvj6efX8+WND9/D9ULbt+GweO4PcFHm5wkKfhTcaVmnPo63UE+Y8JXZQuvW6FgMJ2ur
PC7qz9+E9xzHyhdpOwyrMGDig+b6A46VNXSSte/1Lsc2x6I2dUMT9nfRFJXxu2RZDKg9o7Ei5Hq1
sZIwggqVGJYpilIBvcy9HwNvbYsLLNkm2pF4TIpPqWEREeLs/MGawESGgr1tduGuxO9yKEkkQmu2
7IRaHIVg+l5IYuWyp7e9XUUdj7AbM5Akd11bbpJlQq3Gyo+y/nPkexE1115J+3VdjyHR8JRiJv4I
FWKISapgUwBdqEFC1RFDD0JOAh+4e8KQ7ZueWn3MksZTEkZeBrPJmYJ+OlKRd4awRuqXpxShp2JF
mn9hTp3RJnyCVIiKEMizNSshjZUJqbTTNDWPgccmsD2Y+ADG8brvUki7R8oHqfnu51fP+mEMkb/B
DGV6qNVw871ctYKQ9QBdfnana+qt+vjsmThJXlOQxFlEuNJcRvQ8lTLbU3xzXbzsVM4TynRZoDO3
QuLwN9rB/KTESfpjVzTxmrekRybmjHA09ONPv/gsLzs8Pu1aEHE+HR4LwOlL2K5DjhvlcrO/5RTV
evUXvHepU5+UClkHG2k2GsonzP6EAUuvnFog0imgo/2ru4MJ6/v6sgyN8ckZ8SPfCig1v5jQJmTi
fUBT7zbYDJrqVFHjykkOxnL2e/6v9iGBicLZc+hbBzI/7Ay0+24OpTuDACr3qlvdutTbxk5tCgm2
y9ihMtOCdvsFk/FlZ4EpAJN/FDI3U+T/YVNYTJ0ENs7tbZbmARNNxYnP//jt9csAQPRjEA2yxxdb
8O5+ld/xw+s7FKzQ4slyvstC8mJKr8s1HdfQSm80q39mQpAHuWcxIpXlSZ9Ep0zRPx+BP7wBLjOi
YB/GLgcNpufny5dPzdInY2+4hqB7nj3c88lOL7MJalg5L3uUC4hUQtsbvP/568sP+P1oC1FisgOS
PFAOsz8sCMUyu2QjJetNzuSyvQlDMYSndPBjKgu86d4YTr5NetUvBrn9cv/FnpN5NIJAyh6UMffi
cxeeMzlb1fQ3RF2knbgP3LZZ30VVn29Xum1fF1bjvB+tXvbP6QvJM5Ze3rPYzmXRtctRYB6GAEDv
tie7gTrTqbcrWWLRugA6KXKGpwtaMYZwIEmz0eSwtKAhQwzcvKV/K7UXP/9aX+7hwGIzsF0WA2oE
cq17fllj9E4L9Ij8ZowmUCOkHNtZEezIqeuLDiRFMXn4uVQYibdSm/8sSHWZQDsgkRP+Ly6y9/Ii
811zmUP5rmiivTz0zCUCbaw5+Y2So2ZnU5vaQ6ra088//I8vx8xFy4hknsBkeX5xbfMM3ko0bd51
Irmen795kc+h36MStP/iBX/YmrHocoxiEiNL0iQ89sVLkpK8SIpGd63NTIo1sCTYUwF0zLLBI4Pd
pvImXUeiXVDU+8CX7m2B4LM8kdoVm/0NRI2C+p0ukemEDy8xpZ1GuUeXs3lZmY/AHiDeJcqQqJFH
bxNjiV+XZ6V74kmiBVEt8Sr7Jq2y6LLKBwxhTZ1IYxoGpIKcBa7KSqatZp6YpGMgyCrZsh/TpKcw
Ewol+K1nWXbKIQVTD2xiuF6vMnU0w2gFL2iYKpkrUk0Ynt4FVia3dd92K/2UbSYa1I6+0p5cD/RH
mer2TLUh3X1bUMtjGIkW0qvTE9bCi+jjR5PUHrWwqRXyI3H/8MrqexhyXxapUWfK8o3mZ6B1loYr
LTlWZ5dSHjY/r4DbhlPYG24y7ube6Ff/YqhI4oiu8m4jAU1VBExzhuaCMXbG9HnyEjLfHtWXpY9F
ejrOIYdzZtTVGl2hbgCpbe90t5pi2tnufy40qIIkFR1ZnDyzp83aM9f8IiauZrX2CpWrz5yhHckv
M+gmabjRDTi4EDJ0MjtXNtU3oB6kt9Ru7WbuqxJX6ATnhLKay66G2ln7d3aXYb6D+pEvn5RQGjVB
mY27hK+bQJEKCmhOQS47D9fakvYrQ7lSUSL09anltor868pu5+gmE8Eg3uSEFpJNQ1Hb26KD2pZE
Et1cnyAzDhVNOPLqEgc+ietSnYKfWH1CYpUF+5Eqv98dJ7OVri8Ns1EcFVxlRgJEHyDztPMtcKPO
sSkLojh2/BNls5Fsde9CO9FrihdEuKNcWbwPmyqlY/0enYek8OdyPejKr5YKYKGW1U5d+4wFOOLP
UAAw2e9I5ijc+96E2IN3fxPF9lZZjpwOG9LXClMf+Y1pvqXeO2XFpqErxBfKJpb7jk7sJB7Ia61a
+wTwyljfBe6Ga/QBuJG0J3sYr2m9Fd68DWCM880aysOgmo+6LE3cnfRLQ8WVdn2NmQgokjJYOZX7
Fie3Nm9oIQQ0u7aT7kAzG0oh/1bB9J1eBWExGjQ8VFlXmyJ7NQvoDVy0+m72HnW6lb9Sw1r4C7ds
cb5xJxhWHTjcKbSH5oj7XQ5D1SGPDYrsl61hA1XYT0pDpIoCBSlFDEzlHMxtO/dMGMwELW6HFiQB
hWnNYtJwLD8HGtgf8eF6grphiZECnWkfT/dB4SQzkjLNca6XlMVWf1I1xMLVxyepnUXKgqcBUupW
L8IoNN7DqZycY6SmLt1w0t4rdeOMZ0aVea6o66/pmxM5B6aLL1lZhlWpnvqipCUpy6PiqmgjlQs1
nLmHfNXEfLeM7C4wPqJs5AbC1dGNT21lo75tHG+qqBuryrpqi/jhIkcj1nKMkRcatLMt5CvQEueb
iZKDat1os6aryusanhVRNWc6lILE7rNOntVGtx5FFRM80FkcEYpaY6aWrOx3Vuqld17W+BueOzVR
ZnUcMolWS+Mx7oomNYt8D9eOLMhdZLg4sDuFfZjV850hJ72zruFbQqu5ursYFz22ZTK8LPTe+oip
Ls23sX2e9Qa+BSZ57fxTM6V9rp1YYS+FTyyychXQTDnVM/7mezx7ZbV7NYGAu72bhC//Wq8SusGr
WCR6elDlTE0I0PY2bVDs0c4wLmtIfWWZgI3Lsu1d1BkQs5HXcQAW+9roJffFUsZ9ZYIBjOeySyd6
Tx6/UnUO/pa5dDbL/GOw4VVMD/OKNB4EOcZ9/t5Rh37dC6qVZVT5qPUFMpV11gZHvWWvc9xfCFT0
MucGI3uaOdxkH0bXTYrmzJgeFJ5pVeYjXHp0He4cthl0SLR/dlTzSotrikVLyLancUT96JkNrfVR
NtjYp9NF+tAq/zKOxlVuE9RPlsJ7LOrV1d4NEYs8OGgBVEFSIeOoYEKVi7GoGXxkUUkVS6BSOThx
VtZdboSredthuaK/0+LL+diTqpK+T+hogvymxGB8LXP8YCr6q1QmVd0JaxG8sSDq4rmCASiaTp1D
KyWw254YsY6KXYloCxnEvxDAQ0kwTqK6cE6Gj9qw2Ws/8OCewUJuO8tWGdVptwz3RHDESX3wKTWK
4ShMk3TY46iA9WrYRs45GE/vBPRyT4IvM8BV1tkCzSHB5Vsd7ZOuIe5sjzXaMbZTiVWJgaB8lHpC
1htHPdCV48gqVrm30E1BAEd4m/UJUZONtHwjMkjZg3GmiGx6jyvUpkoLi2zbkRoXjWIja0jOOoqP
5dW2x0aLUHk5zyL1FwyYbfDT5Wmk6TlCzVRhHb2Sw8Y2p7lml1sg6chrPDvetOBBM7xd/YzsD3lG
yGiyClsph7UWJCl0Ep5BafUyWQqYKwcao9zLaj1SDjTjTCFL1eykNk+92h5qdpFuNyaquavojKrd
qIenspYqZIKvNqSqyDOonS0KZ5849ynFgIuuExkM3ySTPDWjqxysDTd6ZoQyplaNZk0tyNU9l0sp
tUSETQ4q0n5AsBRchWPdNdkpM2Pf/Vypi92cCUZjTkwf0XopwrZXjm/K/rIzJckwvYmTqfYasghk
Al0ZBlKDxBFAdrmVjMTIz15lT/VBqdBUJeo1CBs2pDeX3fReN37XwQMEe8picl/wXCo+IJ10uakG
fit7tRbbC65/N0CoaB7NOXMspE6KrOcripf6kvQ9hkB/68UhDLOt9K90scJI5rGw9gnOt9Tfdfl0
LjazShYY8SYmo3m/mnQPaQ0rJZ1TelLAxusAb9gFa1LC89Nv+pvPfzHkWLRYkhk5+kvW0UOs0E3n
7qXGKV3uB6VbgVoP9ufIIWRp2oOLwXnI//j58e5ljSIK7YBEBvpjXkjA6ssi3eb5S5MldXldlS0y
cA1o1VSaVfXMNGvmP3phB9Ej5hF6dPQ4aJO9LMWVhTN2YbOl13mZduHnlZNCgJ2gJRKUaMTOWKr6
WENZYJr/+Qufyz7flWUoj3OgDV06dPRXCJGQdcvvKnKGETo9z55e1vPahu4VRcnRT64jQk8Ri9NX
F0F4gRG5txBvbCIdynrvZqtDvKrPmtrbt8WZtjeaVYh9EWiBmNvHn7/Jl0pY5K8QqSyOD7BPzB8z
eFckFkHQTs6FVqgpDdyi88v7XJZLzXBpS+NEDmqbBjnUujAIn5Zxatv2oikXFHQ7G+SB8dQ3mdEk
e5RaqJp3FcPAqY6uCo7v0qossUdlpVGjh/V6sMa7lJ2qkx4rgNUU7dXd4p0r6ueP+X++LP+VfG0e
1bc+/O2/+flL08J7SdLxxY9/e9NU/O+/5WP+8TfPH/G3u+xL3wwQR3/6Vxdfm/tP1dfh5R89e2Ze
Xb+7w6fx07MfjrUMtn8lvvbr66/4MMbzu+BzyL/8d3/5l6/nZ3mztl9//+3TnxVs6GwADPBl/E3/
6urP33+jmcaN+I98bvkC+rfyE/z+2/8tP3/tRwru6tn++ZCvn4bx998MS+bvAP4+/395z9ZNP6a/
/+abfzURFSMkp/TnUX6kVjM0hI38/psb/pVsQKZdm1okPUcyQb99vmfX6Z/X7S+1qB6brB4HHh08
r8JR7/IDm06F4/qWLO6+jBhFtmnDdk9sfMtIQCaODmU5m9RIhGmQybvDdm4H10m8uGjzglok71p/
BCfLzD0NbysyrOtLKse9I7sz0CGWJPHHcYfh2U1BaoVmae4kBy14HDoz2g60UmfsdOvqxV+8ZBbx
tVlS7Lg2UfmnJwPa23RMHc62J4AJofMJiWCfXztZOuJQyJIsKP9ABmBMN2FtxKK9nnszbUfzENoO
tNvxyQOq3gABzzqPrnX/voNadz0HHTyXdDXus8gcQW9GWXlbT+1wh4ohLQ5xUr23gROdqmjzybwR
W3hHo5FdHsx0Vh0TLtfFOHbmLus9mGldDtxqg4qSdgY8ZWfso/fe6mSvByQw7oVTOTjft3bJH8ws
Ga5LSq/tvh25j4cUtwpRDd6V5yTDU7hun+qqWp7aJQSfjjrvOIMAvPYyfEE7+Ar11RaTt4qaqWk+
zksKOn+gHncAd2CwYwuLfS3EYYSc8xovtQA3TgwzVek+fN0gmrnw4w95vAbXrtGY9hGha/qYwis+
jkRkIOmJKoO5sfS72yVPg5PpzNuXEn3LqfJojsl1eQpPXWMNF2ns4cXsDXHsyrB39wU6x4OowvdV
lPY3FfXo90k8rER6IR95RxlLejWtAELDVosNqatlGUiTe9Khysoe7rrRYKcXTuGrqrVIgsn6+Ui+
TXuiswflsgJAeSsbq0e78+d7JIrJnvBkwz6Wbue/reI4ATsFLH3pquGjm+YDRn4KyNcr2rs31jyj
HKwm4xhtYw8zfr73KCJ9RMVVvYnyxXuCUOCBVsWHtcsCg+xranU3c9o6N1QKF+BdIWZPBEpfULlD
peiRjj5Qcprp3WFrWmDz3Ira9D4YWzdcEkNiXtuVaD7HVkdmjmkU5gHMWPpg16V9lZZeyWUax5sx
yR4IvnnaPG98oMAUfnU6fyAyc+rjKx+7DmEh6fgBm9X259pH3RMusfQzeE4LlG3d+fAv1uHed0Pv
RI4P/MAYbsS1R2h1gqxUkCuRhkl9lc1Z+m5ukH+V01JeZViFuNbYsc1dGTX1H5ZlhSdrqdYDeW3T
4zxlwcVInSXZbZ0l7W8EBQVrMAPFbNxKGiahKwMy2LVObd6hNibByGrmuzl1hkOdwzI1nao/oZMy
T2jB+p1wkw/cXfGDcIL8hGyovG7r5U3a5cEuX2rxgFvRv7StxN8Ztt/uCDr07TtSsecS9XDlHbOR
Bc6wyOXsCRF8tRL592TP8LF2Mwz7XRP5xTFkd+nsjRg/rIRoQHUw82MYufZu24Dj7/JmJd0kzf7M
kWF+qJIVslM9pTdRWrvOcU3ImoAtMl7ZTYzrAXVic0Qt7ewkzuddjCh7uJzxIt8gnEWxTNoZ+ZJB
Re0sIRyrKvCzRWzAj0hRze7SC7aZA6YoOjgiAZ7oKp68yxJL97oLOffh9HDj+XIcrRtmxguXrszD
Mi/rDjb6fEdqZHg0miH+QqFC7EFq9MfaWwjIs63K20/Q7I1jZoa1vSOVnGzTWHBfr5Vp7waD9OTc
dZc/2n5LDo1vzbeGPTgX8Ln96iIVW/raajmhFUmSXS7WxBxmVP2frNMM1CQSdxn98zeFW9kfxjYI
/1wACo/g4fCWw/Gx1tsxysOjRyjftWulgOFbYb02yimKj0sYFbsRmO2RyQGyUWQTI7mQXdNkm/8a
FLX5KTBEM52GdibMpoPesh9Gkd6XW98DhenD6mLxRo/Wf29e46oSJOLUdR3sTVoPx0Aww2Jb9g/x
5jWv4tWuPhazNUvk+vqIQs/mAwTppWuJNuIbz40rMo3WW28Q6wHfSPcmF2P/sTfqFoPxliw3dZf5
V+QpE5M+sbHd9747AwL0XH5T2E9dbYZXfdB+ba00eGtMQfY4u+uaMNVDv7lY0sqvduM25jeJ62bk
j0TbyRL1/JgsnrcXGJhObtA69x6i6IsCU92bGFHmmxBFDzVtM6AyjMH6qjYESwod/frSGMlP3BOd
85kMbdfa+U7n3hqNszwUgdujkCw7pJx+w1GE4I/hMl3G6lCZBWlIRWqYu7FsnGt7NaKnmryWa6Lc
x9cF5kZq2ZOb/iEMUOJIQY3mwiFvLThGfVGdfMrnXxnKE7JMW0ACXQ3vXoiNVTMeMucmndfpgoLB
q9GyCnOPPi666aCZENQ1Ttahm/oIHNJqZChQsP2JHa6yRwbrg1UismjF0IwMncVAxzlRmbidl8o/
cGsPb5MQOsXeHzEC5gKQOMrQPtmNMB7vMNjzKHqA5tU2G8G689s+2vaYvue39oIp+lgB+TAunTF1
YJJsYnoLoHx9nLbCecjLorMORgXh6WqykmhlxU6ij7wRO90v4GQOHvyevxsg2/HwOHa/Q5U0XCeQ
BA44mB0qVxGXDJLQ9r6pDCCgRsqs5k4YIfeC7K/9JFY32A2VqPCVtcthKwrjtqnN+NBmg3XqliT8
aGcuHqGodDG8GVOGy6Ow34jUEX9kZVwfkpy9yW5im5Sd6D70yNjdySLkM2mvKB70fHWcFZjLuulN
XlbWH/TxCDCOGv/gFkl7n5gj691mGOWnMec0TAEgcJ6CJTsit2hknWrOdl1FoiZycEe0+474+ldO
4rdHhzy2oXhKRd/47YUGrvz/I8C/cwSgW2wiP/mfzwCPNNS/fP3L8c/5U//nX66G8lP95/cHAv0E
+kTgW38FJxzZTHYoDfBP0hXXBwTf/auHkM9HDkIXN7RD9AL6vOAGf4WOZcGI5UAQ0Gv+dljw/ko9
wOQXKNWD87P9B4cF//lZAfmJSdeY1wgcns3CyP38xN35xjxZ+EkuIn8dtw8F7loCnLfJc4f7DBaM
+Xc0a51bHVyxoSUBvEnZOzxGgTsmV2tDesijWP4fdWe2HDeyZdlf6R9AGUYH8ArExJkMUqJSLzBl
SokZcAyO6et7gbe6OhnBZpSu1UtbXrObZmkSAoO7n2GftZfxAJRAeZD0CmbZQ4TIufeX1GJDD7IG
nvKekUCNSIYxa5cOBUjWoB80wCdLJsyZRiAeNjRea6tiVWrdEs4dSLyttSiMqXTGlRt2x74eyKQ5
+Pugqct2CJ02Yc5SB6twU0+pR3+vS8ICPn3OD0lxvfIrEgSwcFPebbJJswv0bCTP1xauyv299KZf
VmnCFW/NDLsKRIj21ot7QwTcVrvrE8f9iVJP/ACgLqAF5EttHmIfMCIAXK+F+0X0AHgtYUIowQMs
ZKJ/dEpq0pXhLjuBk7nxUk9a3k0MJ5Ir4F+apqoPgRz+vfT9TFDaKYzM2kRf1B4jjDbp8O2b+2Yf
KbKzm8GxiuRfGo3/6cT+/6OUHcvTT5dr0KZ92iX/K6xBdf+Zvsvd//Vn/yt3t/9Dd0xEI2/CX1un
EvB/UnnL/w/dZu4VQ+VV5CJI3/9bmb1loLKC5muidGe5/k5m/74gaHu2YIIAuRjLnsKg8eap+4/q
2JjZE9Hd7L8g4nengNowWbklgDrvl14u0MHgaRj7f+xs/1le+Gc54fyiqPEcw0bUssqhT6ViVsN0
EWtmeYm1MrXwZBQmjkr8EEqvgsg9EO3cfPnta7oojbnLVXQMMedkU6orH5PJaXohPZhaFeZV4xxt
HBywrxhGWvT6YJQDW/J/beEf3Oh7Sdr6dD1hIolD4MyNnmnyvAnB1aTi8SXDicOn3AudBItVUBGH
fsqtP70i1oxXyy6q7IJOyXgvDH67NO+UciJzo4jNT8XcMclzB0Z2eJkay8z3XeU6r+VAZIUBsZwP
U+/b92jSluWOSEiLD7b07WJnykj71YIQpX1AO9cJzcQYxe7zp3L++n3LACGkM4/PKeax0P5ZkZ2h
mZhUX7oXFClI/umrZ2UfMBg8xWAyMI/bZ6gQhBb8/mURQNgCurHPR3By2T4BzOlbRfvSkzH+5dhW
lxGfjdn32RxxUpqG+N+4os2NMmPAkXuuzAM1hnqauO0lVo13W8VRoW3d2gDC1vhUVjYjaVd+4S5P
Ssnri6fgt46AoA7m1Z8qUHPUBIWnlfLFHSKvQMci83RTDllPAuh0k/VllE40o9xw3OknUJuoPKa8
CDuMlaeWH72L+xWLca4rylpM68+vej+a1v3SMs+PFUdu5LcdjcBiW9MssW/modF7SviyzwIw0al7
oCe/uL//zfBGTAclHKTMMylvVfbgDjGZfrFazXoGJ2i+sDPbWjBSWyyC1M7RvHz+vbzX3r09SIfZ
EZMt2iZeOhXCOZZNXJDq9QvtJcA+hrKacsNInPGnYiDo9vOLnTuqC5+9gsEQGtRrkfVE5ujlPoma
URcvBjMFoKiMedGvl1KzxkPWzMXM0T/PzV5PYvxghwypyVcLa5jqV0NtqU4v3LtxdvMYvNsGVV/0
3DQITpXpTteWYOSc5CVjnlv/UgMHx8SI1SLbYNG9tf0syF5GFx4dRbGHFpuZ6YqKqPRDmgIzdqoD
cPg4bLvMqLJNaRXe67yYrDlY+73iQP1so30fcvKC3PUsERYzwpZPtfpkbS/YbEy54fjPqFdG+rN4
EtvB6jVINUoNxuqOiyVi+zUpvGEM6At48qrSa8fcfP47zjb8NX7mg/EJwD8QYVtgzRi0nt1n8B7J
M34+MVWBvJJVOE/2EAV65pn4mbhAai9c+cTGeX0EzLUwQkCfDSIQucH7XdWhbD+DXY1fqGdZVIRc
bfrW0FmormurgSlYd8D5XlDuE3iDD8KQ12y9SWETGZV/Q9Cspqulrtv2uW8ANwTeWDnNxrTlrIXY
4zkY/U6OK6GER1MZ70smD+u/GYqoRTh6MAu2/jrxeYhTs7HC2YDEFHLwDdEGM4IOl2gAAO6xcyvd
fenhmH0Zis6bfzRsT9X1CGI14RzueizPWrMr8l0hY8ZN6WGX1rJD5d/1r7JJtO4PJk/99A8bI0BE
AgggQVBUpAN3mdTd4VGNusW0fCc0KqZhKpTel6juGH646jNppx1OLGXPXCTuLGn5mHcuhA/c2bEC
fmgaPcefvIz7/oEtrBpCmfRZ8dDLIbGf+h4/LwQVWHQ1B7hpXnNw0WqiYctAdO9wsqTXS4fOyZ5L
4KpmMNLnsH7MJGIM3qGIrGPKxfpg+4HJJHTHnuWpIs7D2cRYZMM7W/wb3lZXHEhQyuy7YeZoqSMY
RAU2ZXk8XLcmrP+d4ZES7uGl6hgT6KZf3qb+TFmtaVRl2Dv8mfyk3tsKk7IAbfdoy6BE4wEwqaoK
AAh+U1tPoMYaFUDkboyrlHEX82amUiOfPl8N50GIb5IOWsR4JonoWbvZ1RxbsBJgRNACEHtf5SBP
GaudpqcS/uLMt+pWw7ZMpRAhA+hdvU8xhrDwb0XB8xfDuJlzQ9FXX15H4WIW/Pnvez9+w5Lh5/Ht
YIu1JtPiFDLYpMA6437wn2tTDP2PpTJSb0Oi2ra/zJRsKRx8jMI3sZb02OhV8LYvNKfPdll+AA+I
ASACRXpsJ5t+mQCzkPkYPYPhyNJtNmowsvupT/Hr8AFgfH6752eMz+AdlVDyB3/dD9bA7B/BfgPN
R0rd8Z5V74jhwSuaoqPil1vQp/VUMx/bGkEuYapS0dZLs8oJDchh1cGjZF9cONHPtsr1xzBkSNrB
IB3za+9/jAXqm3BBec+tJT3GCgqxTNSlG8iVAZx3L970yTwoSvn0IaKX334UzIMKwYfpIAxA5fP+
6rPbjz7oWfO51ETsP2QUL4ttkVce7nkqy1Pt77otS+wl8tHTRhqRjU/Jz2/Sr2hcWm174edQk5H/
V6SwfonMrTAERrxuM6h0+mYU6mWaldXy3Jkm3cnGiiNrh+40yww8eTFT3Cx60kzbZLAq8dCoqSq2
WOypeFcSNtjXQneN5PnzH3V2pvpgbly+zzU5NaDPvH9EVjphQYZJwzMuRa06RmKO1G1HKWPAfJxd
5Eo2KIFWRoRWbgiuC7VP6sW6tEjP1whNM9QjJNE2rqGnnedF9Is3g5Z8roxowg+GotEfVckw5D00
C636VyXjnULhn6mpeZac+ExREzhjZPiREiMd6soj0lLPUx3rc1gNQswbxlUBCNOaG/CeUfrgP0bR
HMV3OFl1xcugYSK6dRtPVV/6yTDBAxTLnF+raCnGw6S1g4ReFsfLdVq68HGbOrHqOsDpQE8R4g8N
CFG8TM1fnGeVgXc3tlEHf2KE8mvs2ZUVRkLo8zM6VCu5EDWcx3lwF0Gw6Xg46izC0zhvbvFlQ1ne
PSvMOfR7Y/TFL37M+E2m8ZgviKyg54SQNwfvezZZdEhQMPnZdWsXrnuv+grqPZOkdHodrDGaK5iF
PuzUudKXCz/1/HMULFmsBv11ppug9P3nGGO2B8ZXk8QnaniNpWUryvG6+ZxF7h+Do1uPDfN4WzD+
39BMWFefL4YTGdG6QoVD/YA9i5TAw6fi/eV72Ri+1Ef5PCcI12cmEx4JIL/DDS0e4okMaMK85GC2
An9vQw5XtJ/NKx07ZsYFouRStnC+KMQ6bECXktF7WNgnO7nNMCjNzLZ7hkdkt1ngJdVA3WSyYeRt
OlBQTRnOrujzXwTbS7oVxlu9NccrcD/xSVEBbPqILJQIa5zdh7YAQBxIDCGcO2Xz0V/Y7M9PWp4b
FN217KNDSzj5vThmkhO0uXzO5sz4la6mJnd5DymiCvIE3B297BG2VeG3U/YrjioEA5+/v/Nl7bIl
8Nm4SKwYCj05ackUESJMcfFMtWPYceRAQGucutnohezuuzKxLuye52+ICQZeDNxTxGfW6RuCnSIH
fZBcsBqMISiSMfuVJbGsjymHT3chkPjg9khU1/oWsQRzWyd7tYgah5lbP3+GtC63GQ3IsCPs3ZVQ
Yg8Rpt+Hzx/nR3eHMpZslYlTpj5P3qfpEqkkcs6eGZteXlUlcv8JHzb0DdInHf3121djkpb0eN2i
EPKdHNZjhbAh9SdaZXZh3GQikdgIYKXWhbBz1KU98YNnydZv+hRXCQ7PUBp9B70UYUr6nGZj4m5w
94n6h8WiOxkYtN7GtcmX1Re4oB+EyivOhSKxT0iin0UAFg1+z6FVfOxip3SuUjQ9P7EKRcKB0UGr
P8SFJ8YvQJeSr41q9TG04kVzt3gA1cVtTltS3meeUep7ZalGv//8BXz46yyigDW15n+n4RLIGzQ4
museBfN0Auw5SBd7I5HHjBsFnG5+aLRyWHZdnRiEBLYtrdu5FPF4MCvVPKqo7PPb2iGkLHZeZGoX
PpDzV+bB9/Cp0axVC2Ko95tzk3M2TG3sHSMqqda2YKqpvBrK2om/pVbjd3tQ7P2fnz+T0yWw4lMp
fdM489eR69OSA843lpaKLnkujbTFUUU3B/JVb0B/Fs1a/vi7V+MOKfoDAuXjONPP1gwTaMloese2
rNPyJkns2vs+MoSxbF0zLynZfX690+jcoW9I+Ie80IDvcpa54VSE/5ziehIZwFembMedxkbmblxl
lFAZLSOirQSN2bpwzJ++yvXCPFJIzBxrTDaf7CzALylVgjA+chbJ1y5PbXVTGhhc+7Eh/tRVQy/+
81s9S4vWS1JR1MlB2D252/dfj+xHvD+X1D3qtXTTGzF4g2Buw/UQAmPz+cdcqqG5L1HdfdVVWfr7
BKnW33NSgqf8/KecHpP8EnBKQOR1CxnS2VN3vDkxOwgDR08Oxm7R/GnXUfRazU6MJ1u6fZiN7hRa
82LvP7/yRw/BZLPjiOZrPg8Ek8TDCW6eXAB0U79rerN9KI14Q1QhAkZ646tohhAe8DnsEXrbm2Ka
xgv56Qd3T8a1Fgz46FhUJ68eKV+xNIwlHTtg0D9MvTLvmiX/5gIU2zWl9mCwgfDl5b+biSJIR3Vt
Cnrm/opvODleLIQkDOJKcYRh4Mc7iChy2jJvlwwJREpN3kV9M0kkVaZW/fa3x7XXDhzD5Ca3flr2
JYAm15CWc2RtWUmB15TqvhZdN5d7Y1a53LHebIHPTGx9pxOTdBnqGhDFTwo5uX2peXC2p9G7p4zK
NurTJCHofb8SyiL2bewTjKMrhmibKtm9tHUSXw+d3f78/IP74FJ0fwTfOzs3rIyThx4De6pnauHH
WLSdiT8c3N9dYc/C/47iqWm+fn65s21lLUPR91k3F4qkp4MPmesutuxL/bhAgJhfnGYcMUOYlijF
z3PEPzvQSO6iC+v5bBel77bWWnhFrCyKTO+fZ0PRiiCxnI+EN2b8hJ+rOTKw4tf1s1Y2091EGD9u
51GP1IV85WwtcWXul7SFdAk4xPrf/1HqqXpzRjBQTkesM1u0x9ByFucwuI3W3+UA7KdNp40NUNuy
qKpDvjhWc+nT/uCRr3sJNRZujlP5ZDlHixzGFPe4I+OZxa1RpOphLpKieR2xlVnuwTymvzpNTend
KBk5Bi6RykdKzUm6y/tMdIFW5cvfDBEl2aZJeq970hrcO29a4rObz7+ODz5GlC8OczEkVOfJXaT6
YoyrRj8K/OfKg59nVRPEVivk1ex6hdj+7uUsa42iuB4U9rMn4zUpuhnLVUcivsQAVhkXdtDmRqZv
wDBjZvXbl1tJDjaHKYuNbe79t0CpOGUGVg3HRsxDf7CxcYUQbUvdPrRpY+UXHua6SfyzlgX9BnIj
6TLbmbuWbd5fDgVSM2mao46dU2liC1BRbHu8HS+1BM8/cQIiAjCmK3z+Oa1P0fkGizrbfF8dwI99
BrQTOxW9am8Z8Rffp8KwsgOIXJkcKCuNl2hpb1vG6X3a6C9022Fe4gze1Paw3DH66Y4e8bh1k3dK
ZiHGetoSFNiyeRtswOFcWn5nGEyP6Zm7c5PUsYKM5e5vBmwH09CuGp9JhiVvYEvOczs91I1fNa8z
SsR+Ty8J1SB9zsS8rmBS1QTbdulcqCacf/1Mihtsj7SLLbKsk71i1kWcNZHZH4GxOd+dzHR/VnKI
/25dD3XU59/ieZyx1l3XDNUkT6Vdd3IxtYhUoJjvj1OnpcudmxgOJZ3YqMaD0ZqYLiYe/LFN47dV
FtZGJmkJJG0eXffeLOWFPep8f+bHrGY4aOENksuT/VnBLtBJyLpjVqt8F1tG+w2DYME4QBNtirFt
bzLsPS4sx/N9kfkZ1uNaymKDPD0UKChGwq9kd7SX3OuDBdCuDCBexw9aOrl3TBj70YWn/tGSpJdL
GZWShE6E9X5JItqejDqZWoJqre23OcY+3t5u6tm8cKEPPiUInMA86Jq/FfbfXyieUxDXRs2aWMrp
a0oxP0SQTLGz1NWlTOH8Wqh4CNfJ09eS0mlhWKSyssvOl0e/igSVSk6LNCgsd6gIWHvn+fMP94Or
EZaSlHA8rNKK9RH/40DNemfoHGFUR1mBz2fAB1+fYFymPrr1vSJ3dv/G5aBgMI+ke1QeT/bseTKW
rKfYf2TOZBkLDBlaUwsAPJVmmHSkf5c6/udLgazegENFHkSYdNqOmYH4dQksyiMudhSC8U2r7X07
eP3aH8VQFsXUQKdgp9lOWV44MU4QosyhWMyFEnaaJD4fbOVUHjg0xjY/VmCV8m1kd2m9V6bE5AcY
A2xbepXMp+cBI8xqm7a99QxY17L3NGDtrAjxkG6T4cI6/eCN05FB9W1btATOQnN4O7oCk5YfbVOS
62DH7mdV4OcaPalZG8HyXVg85xsDvR9OE4oY1gertBednjp2lh3Nyi12aPWiDOdQCD+GoUBo5LFb
pRc+sw/euodYGHguAELkSCe7cUZP30oYkDvKVModu/BBaFG+Uy4cOfw1mt1I1/1SMemD+yT44bte
gxFW8Mm3DZ/DHXEC64+x67bXeVY2W3tOjT0zTfkhYaj7Ab+PQgt4CskBw5rpGlxdETCk9EfULcON
pSbrbhB4DA5T14TMhGmXwLEf/US2Z1+nYLyKSk6eSy0Ni6LW0B99rAU2yBh8DAYX83oUcmQYfhEX
yjtvNYb3wQTSprccwVpr+qdBk00JFajW2B2jsVLf9Kw5cHQwmsvMl3hyRsD4bZybcWA1jKBKu4kZ
2THz747XO+6+XvL2axllMgmEXlgy8HW5XKPoTNONn0bzlj8/g1vM7Vc3iSbGFOokuxNxmz+ao+7H
2H0P828HFQi/bSRoq+PN+i/v90uoIhUZB+Vu1Srb21st7DCcIXOMq0G4asff3S7pDJHwrhhihlRP
s0mUPv2MwXF15JdQC5PZgnzQmiBH0c3V9QvJ1fnOQFpD5kooQ9hH8fn9vaGtKCd8LiqSySRH9Rbn
9W2i88+Gwc7hP8XV/8+W5EdXcwmZqDF6jHSfXg30Ccr4EpleUg4RJZjIZ5aTKgCa9yDuKiO7pBM4
ixawpmI8wCNzRJFGv+v97ZXoHTCL0LWnojMnf4OY1lXoiXLC28/f2tkq40IUaykyrtuPcZqkTj5G
G3ZUak/D0s+P2G8WJApx9lCW0qYZ742Xos8PL+iAi6eGSuh+GjLEGQQcuxXRU4pVhxEOfTf22wgB
fcp8XuzOIZDhLr1wl2fvj6KtgW8mLWWUJmdBpsFIAQ4UUnvKWCU7r4+WZ8dW2s+FU8u9cISc7edc
i1dm+/RHUR2fvrolqcbMqQrtyZ9Nv9ksEhzpYfaUiMDuz/h/K2K+ao+CAePx336Zq8YHARy/AfXg
yZYJ2bIXbMoR42BCbeaoiXZa2hbXrYwTpq3GS3ak69/3bsdEsMNxSU5L24S6zskitPQW6QOGME9u
A3BvWzIZ1m5iiZMUUw+a+1yaHoAOBkyy5KmGYvLbb5WJHkIW5EMGBc/TeFAOdCLUEvlPGbwq9yXG
FqUIhDYMO9pGTfHn5w/3/Bsieqd96aDJXEP4k4frFiX82lj3nxIibGOn5YkJIVFnIrwv7KK4dEKv
z+7k2SJ/YOnTKGdxnj5b3F5SH+cM96kxer0I0yLrlsBxOWK2mW514q9q5s9vUxRqOQLuEUjOVTTV
XRW2JvXCjYxNRnP0FjXNhVDxgwexpmukj9TU/LOgv019zU1rT9BtbKftDNZ27zoMXRaucre//cxJ
l5i74oIfZKowj+J0zmf3iTYI840zRYVZBJmra+OOKn2K9PD3L0gITkUBicH5J2UZ42BHWes+1WZj
xAHcd60PfXcerpG/+F8+v9j5VgiDnWaDRzuVis1p9cSO9HlVrIun0jbVHm8XP0yJqw7l2FuHORb6
hRd3vjNxPVqYpIZ04WluvD9UjAomSTqU4gkwoxYmeWIcDFPPfibSqA/p0DNlm9Tlv3GTtFKJMjk6
Pxg0cQuTXm0lnkYGgof7mEn+P1tLq7+A+dbuvWpyxYVG/Ee3iaiRIjPlBMopJ7tSD6kSWqXtPJW4
TYJmQImaYyOKpW5IjbR1MVpLbCbYtJ458t9/oyQqaHkoctv0rt8/4aplONlIpfNkxOiDN7E/pvPB
QA+dbnQ5wVZI5Jj/biREs0CQtVHoI3lzT2cqsGdkqg8Xt6cC0Op2ADC6Y/ua7uuFAeHPb++jJ8tV
OLjfaOmnW2CRuUDkWsd5crw03ZdgW7dNqyEWVLZRbbRqpBMrsmX3+VWd852Q4iJBrM3CPCe0F2Kd
oXFa56nVnfTZkfEMEwujgWSrMyT7+vnFPlqTpGMEXgzIIPA5iZkrXOzmHnffJwXCa+fC79ktkzO9
yr6KQrOcLt0cL+rs9rixdYOnCUOD5DT/8/xxoSLZO08mJCAR5NbYfaNQ2JsAooCobcvO1BKc57Ku
ue96rUqf4sjN5w2BnQNSUuk8ek93y3GXVdByt7EDgv7VyBCHYGzceLj/dQD7b7IsztROIDpWQZ1K
XwZOq9NlxUAgQvmdFZi/MuWuzD7wOwH8w5eLbkL+T/yCoKxjKaVtK7L7FPuzcQtEynO2ZEmVuZ9d
1Sbf8sVs7UCZ6K2TsBPKb7YYEXmtt4/nOfPLoALHXYNiNOzJfDJdRsU31lLZ7a50y8z5WRmLVk2o
vzG7vVJ0A82d6GDp/XSbYnhhOroRLQA/xrRfaZuNVbKxPVLDP0uMZ2NvGyW2uyyHZkK7jmwce0mD
aewxBR9cjFRNshFlS1BUKrIfjF7TlREaZVt2LzqAt7rCTdgTR6odxRAoXVZyzxlnkfJnq5DHAw7Q
RaJjHkchqNdVVT0YrWPsOk30t8Lr1B8clfPWTNslMGAqPI2FNf7dto7/WI3oBcCP1rLaDNCxOVD6
vje/pL0+dhvEHM1zm2beL9lOjhmODe51x3gqPeayRFTh4YhbkwpGs6jHHTDLWTu0Tr5mWeJqUVWZ
fiuJeaZXfVBL/xWFfPm9suveD6beLVQgpTfaAYVrI2axSkZpY0zMdlnWGt8rc0qdsLXTMg1gTANX
acAjNNR/U+sOiaSRHssS3+o+Nd1Hk5n9wyDGlpjWHKXkI7WiZtMvdvqUVZRmYMjGeqhUWg6YnVGA
DctImw7t4LfzXRuN8QT+sqbNV7ZSzYE2CWmsauOMwMXBVe96Ji3PN1NW1YxExGqotz4X9vh3UURh
WYDYkTTb0ofGbRbrQdkp69KAK3GbGuUygFpeoiww4JwGsdvVNyNuVS/KSHP9UEfurP8ckPSmf9pK
Dv21iVk4jm8tNp4rm0K4N52KIueadjeDVpoLcmHqsqV4cfmIrf1oZwtYkgmSgbyddZyXsLwqHdwl
kwyr9V45dTQEkQdy9VATFGLaVWJHElTwtrNtk9Z9d5uhz+HdmdnLRGr36ud2bAEhWArJYZxFQQ7z
ewxBE2QNIwkVmJ02qSZGpFVXFGHhOAqMdSKZYlgFdjZ4g8ws6Uu3kdh4dRI9u26ah2MkcC8vFuPI
Pq7SEESMMgJzyMq/ugVTD8Tt07BsM+FF9+5sFHc+KPMuiHVvqFH1Gg1D3NjKCRBO9RIFiz8kr8Ar
65dBqDK9pXW1NLtSc6EGte2ils0UD5mxjxpRzk8TqGERtnEzQAEpK85g0UAHgjxSQbDI2FumOoue
x4w6/1XR+VMO21WaW+Bnc3RTNEZbbUUrjH2ZJKrbR1bta9vcBsMd5mmkv9o9xvM7/oq52ml+FEVb
LC+1JhRNP96s+yWa7EaWtwXzDElgDPz/LhticTX4CtfefLC13TAM/ROQt7S6Ac/I2HlsLiojNpCV
OuBecsMc4nQVlekYbQVMke94IkMWdAffq58qxS9nLD5u4Tl08Ee6zrefyIPKaKM6HdGyJSkWb6I2
t5Hxt9ghPC5jPPDtx2bcHQ04qgqJgWCQjamxqgvdXAnz4Hd0PX75RSmLcBQTlG29rxcCe3fRgMJi
1Fl/mUaTLlXQ9tEA6DCJ8ZsKIPsmZoCcJRn3uoB0vKlTkgQ9TCleoo6mactMMZQ4zzuYcHuLbWZN
/WzuYbQu088ILUYZllmdFnfOMKpxN8JH9vbOYkTmhhmAlZDw2ZTY+fm6dnpAACKkQkJ8mtZU+kh3
YIztJ0+a8rb1mWXEr7LSdzGUrT3A4OpCeIQS8uSAJZBn2gLV4moSxKa0/qR/tA0YCirjyTeyx8XT
JEyspX6SIGZkaC5aFF1FSvztkizdScT0+tUwTsWP5A3g4awsjwpS7oa/uf3C7EGlM42RYimR+1rz
bJnUZ1a/jX3yBgwB8swOn1jqD3iw5gteqcglV8ZIaVYUj/E59b83K4ME8ZDxE+2avB3VCispIRaF
zhvCRL7hTNiixUaLjOVVl7nY43BvU2gqcMTpVhqK8QZGWSYyQtoJy99+r4lN/4ZQ6bLB/w7Ch10t
Rm0LZMVhXBLJ2GA9SHwZH7UFHov9hmap3jAtpU1FdStWeov7BnLpGlo94fxGeVH0PflEVwwM8JUC
0H4TpS/Tiolx67a4Zaq29eMwabHnmz0ONFhqA7SZxgRkwuYH6wUs6ewB0RFmtrVbt7jWVnLN1M26
3EqEJz9yTZfaHtX/0u6HNwxOZevLclWvnBx/oozN1OOK0DHh8N4XDPEXISC8xsL/1EPqaCrdvm3f
oDzM9P0ZqxXUY7xBe+qV36NaY7rqVqaP/4b3qVRR8OBiw9m77Tw/4NfdPsZ+2z4i5dBvOUWzG3Ju
iA8UpVeY0L/AQrC2kbcn7pdh6X75sdYZayXYuVktlXYDtSA/NFdeUb2Si/zK8+8ldk8Q6Ve8EQIR
eGt12j/KEvgRIUtr3iknr75rKzCpI5U4GitJKX+DKuVTqWwGFmYnxDx0iO/aFcjUv7GZvDdOk2Ke
5wdyRcb1KbIch6ky9uQHcMGiwV+1iUpsVSmMo7OSoASI+KsCNlUc1G+4KL9u6z6cROv9zMfuR0YN
4os2dl9yTLPvepv+nc5p+NNIOp0tCDpdAfZrl66IqgTQj7Yfe228nZyiKLEDKID10GuOvsk+j5iI
W+lX4xsJS5tAeIVa2VV3MZSxv5hY9LbTCtKaV6QW9ufqocCBSIxjfGisKPID/CpWEpfvTuZ1slK6
+iIG2LWgC2kOkzs7W/8N6aVjdrWD3/YgPWfGrwqr2RtmeGCB2SsWDIOQ6soUPcAwnHn7K8tznMMc
MVW4JXVkIZux9LaL9LIulJ3gjI4082tGY2CHYy0TH7YRF9tpZZhZbzizZSWb4VFVP5nNNFzhegxR
zF05aAu2zcZd79TtXq20tHzlpmGE6QaFPj90QPCvqSZkuwqoFfS3lb1mrBQ24agOwnm9ugHBaHNQ
6uyRMi13nbRmrjpWofuGdVuYH/miIekIGENZqRBNlnJXIv4SCXVnroy4cqXFlW/gOH4Yp+jI/HDN
gCOQuYHRUfzeVwDd+Maio3Lo7OoVUDd6wGhvlhVgBz9h+amXnfU6l3YU4IgL6S6b0v7KyTSXCZgl
+9LlxU2e2dkrvsXmlTel+aNTV/c4vsDSs6YkAQDWl843P7PsW2Pl741u4lOxWvl87P3RH3EzWzeS
SYkbHJJSvERXrl+1Iv4mN3ee0xX7J1YAYAYJcNK98dZcCYFCJfMLKvD0unZtAIKWKS0+FSY8vvRv
rEFzxQ5m07yKyVYgoWVjgR30ZMy77g1YWI/AIz0ghnMhsIjEoOFH3ICnDOcVeohfD/zD8o2FqFYs
YvJGSGyEhaLY1LpvzIb7m/aNpwhXmgboCllsV9zi0K3kRea0oTCWKUBGY0Uz9lEFpHHFNZZv5EZm
QaE4ytTIxpt8xTyCD192qaO5R/sNBBl7MCGVCR1SJJ4Wlgs/rV/5keAlQUniL+pPW1yVqyvxRpzM
1/ZnkJut/9LF0w8cgbAU7+0Y5H35BrFMEVxcVbVhPhBPNN2tvVIvM832X0cjihcAXisaUw5t9pI5
XvLFhXIpN2IFarrgKn+qItIOGrhNzanteivSKBo20UrmnHix/BRonQXyjR50Z9WRimnFlY2RcoY2
MkzsxUzH6XqZo3xWG4yflvy+s5RRbIQsc0O9dq5FGr4x8QnJIF4vi+VuJVFTvl8GV4oNU4iJcddl
jBbfDNB4ZLJHyDbNj3MyKOuqYhKp+FqNpva3o+F89BUxuD/sBFXSAi8MbND5gtsxObAK5B+aPUxH
XTZtfR9XVg+LsDGmOzGJXEGAtvlrae/rZFgxEJ8CTGLYIYRlRJkxNWvXTrG9p/mdqMeppUCwKxmc
1Pey1sflxsTedZPXmYlLQW26AB5ihqs3ExosaJQ97W210cepIatiGMi91lIzqbd2qU3LCyVezdwM
CMDljsSNjTfiK/RN6GY3Xgo4tN3ZKw2mhszhTCLd2QiWuquRASt1RwQ+cSDDPMcpIUgbO2d/cKpo
zOGbSIT3dN/cuTDZGpd25AZHtrohJywYWibG6hTOWhakJPlw8ZOF8d+Nbti9tWGcSXduI/DtZh1o
ST64/jW2zyBiAswWRlkFg1b09Q2AZIixwwL9/6GABdn+qGEntUcSBme8QWE4Q+zOtNw4pPiKhkmE
mciDjD1XXjVxqdkkHl2t3Thwa+VfDnKnfNe0Tdpc+4Ob6MQTGhHqvW4VVQNbVkq7Dp3ea6q70ne6
pgBnyfB00OqLbwcyypsOW4UoS+8BSLuDFQ4KzuBP6i3CC/sat07ORmFI1QazhI7OjJ/pDlfdUJYY
DFbtLDeER0w4A38y2yJkskBGYUVqSOOXYKg1mfDURfeyGE4C8VLW6WOiaPX8KNDKp7QdzaohYbNM
tUF125MZM8TlbGU9FFagIzaaASAAzdqV2f/m7jyW5ObVNH1FPEGCfksyXWU5lZPZMKSSRE8ANKC5
+nny9JmZ6NOLjo6Y1Sz/P0pSJRME8L02XO2PcFxEd3YXIZzDzis26gSgL7TIeyXDPI1MYy+nrasj
C9xrF/kDB+KsPiLR5Ezvg6fe5CLip5XExPmBTXxxXmSFlorI3IGR8oDmyi0fyPsDqdgobR9N2hQt
eTvNxOUy4aYHXpe6C0U7dzOLksjNZvRE5gASdOd2Dtf1RI28XX7YMdow8J6RMK9YE/LL5hTXlEhi
fpXfqXdoXGyATGPLgxOOo7r67jhaH2ushE593pgNg5nhsPWH2Y8PS1WRu8IAq7aEzNIwfN8aHTts
vs7oH9oVyCTxDaGD5aEey1DXh8W7BUjqevQgQrjK7PIwBWVVX93NLtuD0J1HGdocDfujW0tp/Rbh
sLdXPUb28GgQu80/p3lZovvao/fyWOc3zzXlKjVrHYst3spILvq7nY99/gCPX/jPahA+GYyOs6nL
LXBwvHcR01KCwwos3ky7jsEvind0eV/GY6Svc7MQONk2i7d8+sMuizsU5W1/XGdr976R7+t+gAKF
Vdopu+ENJoAjOA2aGtqXpqmq9R5gyPUuES9gdwhcQiTIkoz6vkuWhebQJokj7RFMsu7RB946bz+K
uBi8O486mgr6GwWJ8zNalvEr1tiOSi3Db3uYnZLDOuF0rbx0VYsrnxH5ueowlbc447Yo2v41MLxv
3/Oo2dePVuf6PSyseUHtIwtVZrRUts1j1Q5YNBI97H2UMft48zfimefg+4I/urnLkbbOl7x0Y4Kk
cVFTEUc46O4dwrgh4N3n2emji23D+ZDz3JQkr+pghjT3tSuGZ84/OyYBdxyXTwyRHf4uO6KG67tj
ZlE/z5s/GpWu4F/IAqsimM71UBIokQg+i3sg6zoqL5Xdr/Np2N2y+EYU9OAdxsYp9oPVch00uIJ0
aP0KcEAG6RQuhpnFY0T/7PtKVMlig0OeMV/M0xsX7no7E1XSmj9iGFR1arn1uSzAoOEGOhAIM76K
BUHfLfBZiIfdDvs/w06anJssgyIhPm26TrNbxeom7CDum1Nmt4aZFGAoCXFy6KhqE6smg9g/AkPt
1VdgoSq+02qcCeG3rXn/FiCQrz87b6RMq6ZvwU1ySTDG6yiczfmZS018SBNQAUHkNJhbddSYoz/Y
8NkCxOY1QDrVNnSXbVN1lCAp1asDcKTEr7yRdnkuLKOjzMwBIioUHZF6qmdRfYe4YGWyTeaATT4F
Wtzr1D4L0i6poz0u5bqTH2vmaLkKjF3Ot70NTXigjsttn61OGsV2b0VRKiAvu6Md9PZ6Wevcr06F
K3s0ndNiT2k0FZN/XPIiAqjsXSWqS8V8fE+kdC/vRrPurH1VzjXZnqNl+JC3chXGtpruk/t8EnjN
EmV8o57aegnmu36DeC+Sgaxhrh/7xr/qko3kXdyN/PHneK4m62LRYac/IA6n6YzYYxmp2+mnPyKu
YuJGFXt1ttOx2KVuLIn/gTvy5PI+h9vSPlRsaNbBDbpgOC1FAAp3841gvzStHJLJVsuYTnWu6tOm
lpxpU1rbZB0Qe47BRZDSLc4yaqIubdbBWrKVcjf/aVZLvJ7qvCGbHj53Cx7XHOztIRe7H6Y49sbx
L8NZJQ7+Jsv50tZVO6dBvG1vZuob76jZEdqjbOHVsoj0wjxzGstrXtlaXPtJiGXeaeQJC+cewyJp
6ElUaRV/8qLbzRf2oml6HExn3GNfEdJx7ijo+9zB1IJ0Lgs93TtuW63J5uJye6f2NrRTd4U1Kbif
laAp9qQ8Usw36P/vPaE1xDHPsceoM+fNfqpDSgUfyeoty3NTUf2QkGSbu2d7H3R4mAiV9wKmYjYp
DpO5U8/zHDC2pExLt/8OiVTxJYNmhsRTiVMP3telrF5nPBis08EZTNgtX2p4N4sZSozeiRYR8hgV
cC8IWlVE+C4EnJwjAB65ICZCrnp6CJT+CANIjG33xi/VvCFjTxRh7+ZSE2gzvYmqqL9wafPLlyZ3
mK2SDkt3/iPo6rg4QWQUG2MsSNrJ7mxt9qTUsgZ7rCoZnwgP0dOxk1tFbExc5/EjsqhcH6hQbsvs
lvPcHEacMMRlWo3LDgg64iG+1iG7+KGayIj5K7uAotgX4LFYfePSvQVdNln+wot05wAvF2G62FXb
Vq99E3LfItnG4cj/F7n4/zpV8v+7ugiKFm5E3P9BNv9LXwSlFb/+fP6ndNj/+CP/ypz0w38QZwOz
bzuoYzDSwUL/K3MyjP/BLB3cTKT4Om+CpP+bOSn+cYuUREqDghunvkdIyf8OiPVokwBFIqnlllcJ
3fs/yZz8N7HjzW53C3FDXMCoD0f+7wJQJS1u1KUqzpXfePZjEKh1/NZvlfcBlh2SR49Zi3cJdLqV
9d9ID7adRqjsgt+qaMheP3ZFT+wc+z60gPpmIjFshGKrjpjrVBMrM9ZnO6ZtRickkE/WA4Vw7OWR
JSqOSVsQ25oCFW7ygKJW7+BHreuOxduIhrD4b5Q7zn9W07GRk1Z3Uz6QiHvDnv9dStrlruMXkL0n
E6l9fYmaIo4uDYF8W6a2PACvVLnsx5PtEm5L9+et3e0dXM9xX8oQTl/DUxKx8mPGjC+f3X4x+1mK
JVz+G/kAovl/+1VhR3CMIXZBRokvTfy7SQ6RIR44V9aXfjSuNiRr2QKBLvRFEd87eNVsxJu+t5NA
Nw1Rq+x704T+ISI25xqbwmWTrLuME+iL3FqFp8/M2e7AYit7dQ62RbQutcO7fAtyqAS4i/k6z/F+
P+05pQLIevX3XLX2saT/SKdiyJ2nyLPW5x1m5tjjDT34NJj+ivuqg2kI8MfcjFuJZcXV/WYV9RGx
/BvCi55eEciYHar64dbYcFZ7NL1xQEUvyx5xH5k685iP0/Bls4YcoXMcwwcN3GlmPXr81dLhxr/s
B4Ol/vuKAH9NCKfxnzZHN3dWGRaH2NAM6AOyE6PmLBHZQDJ+JYBdfhkUtVKWFZaPDPBdk1hDrQ/7
stUPebcUL4gTo4S0Yg3t1EfH3LXW79s00qQcdTaRvqt/nZiP3lt/Ht7jYa5PDeFkKRqE/GwNkfuK
Qc097BSKcqkmDC4hQsk78yL0r+VCvEQarOF4zIfQ/zXkunog3NhOhtaXrx6q5mxRA3xiKLHWouHK
cqj1P2TADL+cHhqq2nIrg6ggQW22qKmgeuGfOuSLbXEjT2ZH7/cBSM2pWNf+4udAo7w+45WgYkol
UHsVXwxpo4TNzV1/4swCkrOkuKeZO8AIEg3AUt0c/cFv+DJYq/trm3vzDFMDpDOQm0MwRv3GvYPj
Ctr6aaWD5OTuFW81QhqRUXfrv4mybj/pJquyfVqgucBNCFeOu/JxmpE+B/E0nrxuglW25m683vTd
Scz5z2vGAybNqjosqmp+qTg0gJ1i/M5XB/UqhuiG7MeXW2zUFylJiZ72Lr90k2efndaOf0zwPDXz
Zx8/BU4pwXFGL0E0VRoGJeNOabe0/a9R7Q0lI/lGHQQbIJm6a1lTZTOF8ptruwt5Dmt4dou2/hGN
cfwcaJvEQkrNs2AT4jyNYYcTLJg/ulGjH9g6bQ9NinUrWMLXZXLCQh5jsi9PQ7ipr7PlqEdbRYjx
bC3DrF5WH1yCSuJDjX9e4v7MegbPrG4sIO+uAJfsnE9shx8ABytT474dpVYi3eM2vOu4mODtJlTD
I+UfzyVpwHMR9XN4S+lmHklCZzPyLh5kEeLV2o0/HtwlNKKEGG0s2iWpZo6uXVis7bOKdue8ajl4
2bgM5qEt9pxRRpLv5qvW3U8d74k8lQuqSZVXLAAZ1c70uKMY+LQw5Q6nIp8XTd9ATOag6DfRPXBN
CeY/4CS6u8a173ZHv9xsthdnIJ3I3djdfomm3Bh6wUqiLAiNGfpEedaNQfPQUPN85T6ZO421ZA0O
tudQn0hmOT3GE02A1KINfRTcrR5cZrJWXCZ1evNKCcGzKFvxFaxD2kkHDuGdjbdwpUpH2G6KCUiP
Gm+dPn4zCkaaYRZPrS4i5zN29sl2L7m3QOk95l1T0gnHueBy2jlcze3yJ6SV6/4RqrHGPKuKDuiy
gdoZj7vT7HNWeDc8PbNrR8WnZW675slt+OLX00zH51gcy8KuS+qtEans9yLa1/nrPFgRjnHt7TXY
IHds+SN0mjVPRyO1ebX9ndCdqbTANMmQoFXxYBdkQmbwz9HECNmx95xEa/gl1Dx3NNaVtrPm2eAH
eX3nLaUe7o0SPIxhdfkhQhWNchNFVoj/TRu/Y/n8x38skfbrTNSD+glbjadlr5z1Vo3SW9Flboau
gyLqUBbfi1qt1vPE3EwRsqjLkaM99xTI4WHqxbQehNN2hpiTYhzuoxGUm9KS0Cvth7jbHXndO7do
7no/5wOuVMrQGdF5jf3Yt0Ox0V4/V+upgr8xb6iiF5IbVUfUBTXcwPcmFbyS+5GquEYQflytpsti
2CcDa6v4gDGMqHdedmYshnviYZO+2nnqyQJwy4ftjYdyBvBxbc4gsn39t6Yp/UPrlT+WIwMsMxDY
ej3t4NjD/ThObF4F4JH8biR+eFq+uU78CAdi3vxkKySm5cOqvZkltlDFUVjZhEGa77wVhprJSSx8
2KbCoNKnTe1EOy86qb3EkTXUjKf+PBNoZ7FIrQvNt/lwYMxw7NRYAUtK64AwS6qpzJrpaSLozPdm
g89MlG1tPYjRBelkRLD5dlhHVX0WTFVz5smhzEmMBnkGsXQ44QmsneMaunNTgUz3vuFVZGoKqtMi
t3J/YrjoeTkXFIhneDLeqxlB3XgUVNWFh9XB8HMA1m1xsTRTxDhMGu5wcFFCk4dYbfyMG08ss6KJ
x+KAiMslNRKfcX6sY6Pqv1uhBSg3Vy2XRllS8Hn8ecQ7CO4BSTauLVVLUoBQsqrnxkMF1bNFNqLk
J/s4KMxXj7DB8ri7isW5uEE7UB1MbmeQkIvBIuL2ocVTacf87m2BTveuJjyyuVvZKf07e3Mglz1l
cAFkVr1NznmQhjqfterK5q5CO23P2cB+94f0ZfmzJ+E82M+7X7OdWLSjlFlB2+4BNZS09cmgEQui
9me4bjfEW/h3sVhlkETzQrjcWm6G/p3KCU5QnN6SBHrvvhqqo7oHlsrU3LmgJfFhJDJlu4v6DniC
nWmBRwnmPokGMe8P5R4QKgT9EB8N9LW4NlxCLmotyt+z7pBxWUr8wTDR5ejvdhmBPuZ9hIOHFrhU
tLNAAakCoJnedqrvvsOLEnYj0YS9e46KrgZIWvLfLcco3b6ogts3JOH7/bjG8hDVpMa2N+SUMHK7
fab1a3roC8/+2LRbPioXcV6OLevvgMqf8mxnRTs4gainoHF8MfSVhn1ag7X/plYRSVze983Pphqi
c13l46laiWNNlDvvVw485wi9Bqap9lBPh9gqrC+d3ZX31Nk2oPZw4Mlo6ELHf+KtmWPKZx2V0e+q
8aYfVtOL5uzBLV5tPVnhNQ99+0oFnbWddzIkv/Cb1D9detve+7b2SD1uNJdiQXI6H4zUaMQ32Eoc
CCzulcS2IVnHoXTIOxZW7xpamcOi1lZW6fIcdvNIbJEpSVXEK5IXV+rS4iu9F+Ozsxd+tgaCp9n2
fjhndVyZV+UtRG5Jj4SaNByW8SEkQWbP/N4Otuugx2FLNTKge/YNK0/6vs4vEAtjnLrkX7SpRynw
RVu5/dAYmyha4S3dN+71O9mTgzcdK36V52XTQ7r4fnQoUSKeUF8sKu0R13ElX9ecEFpK0JoDaPL6
xIv/z6Y0ASjBPlxegr3SaBzl+IB4QR9YloqmHZ7Jw+423UNk83qmBBZXx8i07HG0FnvP7txyEik7
GL4vqNnIHIKGbFJ2suUYqGnYgOhvXbzW5lfnfgP9S8kd7041nQ51tkZTfWyjSL4V3rRc5tBe09Ue
82/C+L+bmZxbND/19jg0g10c6CZBhEne6UsQdnuGZQSldrFM5hRMRcH5AlLVwTd7SRvI963AQJSB
CNaZTVlHnTCM+T/MYsJvfpUPW9YjQzRZt9jBr1ppn+rtzs/vwGG8nZOizZ9XMWDF8+28vdFf241i
WklTdKR8BpWUieBgmNJgDEduKe4MrEcl7AzySALpsWKrvWATpMAsDJBayqZqmwTJ2nj0526hrapm
dqah8IGpQv4Sg6XOG5/9MXbr554yvDFxFd1LYAfybwTWmJGspokXog/rnQCM4j6sTXQANs3RamBl
S3nk5C15uXXqnbG9J1QaR3cwh+XRH+L6ygpu5bUfLLYsrjQyde1cbnfOOiFgIamoSpo1CBsiVqg7
3Pw5FqDuNjQ5RaYFoqLI6u+4vPUIBYmMGNhdVucXaSJgmrQEun8xonmPVU1reeJHxf7sYP1LwYhz
KK9qCfxsN3gB01jna381Yx//pK0CbD7W4fB97brygLyoi46qz7meS9uyH4Uzc9gtKwKzEgEeFF68
M/yZ6HF3UYsUPoW8SdkjgMz6MhRvQLI/sF3bnwH8sH8ipvYNC3QguJma/NyQnnj2pglKG9BTvaIp
Gfl62WG9kzatvR+myXgPopm8P62J7DUzRZgT9jHGxn/I2+1nJeaueCTbb5Vp3sfdG+zS9I0S5Pa1
L+vqK73pk0i3LVZpKMwkTp1eitOa585yD8gizgES6TMjS39X795Kqd/KMRbTEnhcFn+9Y4DmJoEa
dz3bUYUaVzeL9WNoUGQwJRe5ZOzQ05iQmRMfB2RjASHlt3sRCKO4bA6mlGyWziJTZU2jnw1RM2T7
ojkRsNDFGcZpNN3M4V/R1sEt00B5Dol7Q76iLXINOq6jqZ1zZ0lsawtVVm5y/wLZZyuG+3V8rZs2
2pAPBc1vzjF/yBB8OS9BF1d/4Iam7+M0DmXSOtP4SuejQq+Ut/PPmm/jsxT7yMG0+gCiO4msI6Ls
gYQdAdu0Q5PWtLJgoInjNzIXuH8sPqz7CXlSZDLllhPVPcp4zllxXTNptRNOTS2Crk94urwpLUkE
D67DYttdQpmarjNF//t+EMsu2+O0jCORmdT0rfcydtzyHuW6m795oRWoI3b2qjtXg2zCR2J/vOml
g57Lh9Mmyma/MvG2+tr0zmyGw5ATMB0e4JXz7rTD5agrNg+9m5TsEnt/1o12u4V2aYruT9YIKHDy
u6BBX+1xUPkJLk5Li0TNSszxeeC+BH3hRMtQIEwoRMSt1pOuder8beg/VgrQ/bPXU5z03YTDKHFQ
GwwNdKOuyxSebNab+2nK0B4zgvqrOevWYPzlTgheDrr3Npus8cGd5C+ufUPAVYrU2kil8Yj59UKU
ksjvCrvMrfa2QHp6KJqmL77IYdTuj94F4SjRtatpynzfC5u3MI/pXeoXfOBQWLJraXOM4QOoLOcP
7j9RwhZ5phHJrPfA8kX4iC9q3U9RHcXdt36+seupcfPGfnUUD9pPNzR33snfgLmZTiLTfa3KqLW5
Gc+d97W1vd4/Wi2mtUNIxUnBZLvuQbIOzL7nUEz7iQ4tOtI8SblTqiC2XqeyXKasoSmHwZWpNEQG
+Nbalj76tt0gzC0Xf75Miy+fvLhbtiTcGxLeyWpxqxTNT8DKtJZtQ0e9yu8Y/ZffhP10f1nk5cNG
77fO4L+RKczCV8lcojE4aidg4y/I1/wNWMtt67bWK3I3otQ2GgZ8I5i+vWtWr/zpr33/1vjjjkCq
duuUp9AkbW5bf9vee8l53OQW5PUvAjrX6ziJ7hjipCuSivSTN38YnOqy1/Gt4xWyhhvv0AVvSxjV
rPs2WjOkB93dAgUUoFarBkoUCbk5aVC7S+zSrFUTovAkK8/sZN9yYCS1woBp+WTxJDBKbnfu8GfV
yOS2+AfEGAWHGLDeDLKJL3lV0lEpw/00VqjMM1x3+fPsuS0MLTEQXKF54OoC3lYd2BjGe9CEOCU5
duiYMDpIJYEL81be6u7vul7L+KD4cn+02u+3dNPzN9h+J5uQS/2kwhK8Du3/Gp1Dlzq/NpeLQvbo
x18tXAWvuvA7/CZOJTj/xQAJ18fW9lJZPOCEm6RAhbL003OOAfPBxNP6UrSFc/KrvfjgJgtzZM2B
etl0r4ZT00vKBzzuyBeFS2S+9NR7vHtVM320dVOvX3aH7JdUl4saU6QUM5OgvS9XV3rea7AAPqWN
Y9zfXd3IB6ovu0cSveZv7tZ2d03BNHhqcjv+xAAO/9IPSEI9F2UrNoFYBZQFLPILwuxGHsBFxJsq
8Dyn0Y2+8roNumjgfL80wOo/l8Zu+0MxAvdQ2baTfyWn8hUqqksn1IpVWs/eAFRJb+OW3WrFfrSc
LCvVo/VSpJ2Z/TDrPbLlk17Y73g/8zsiboIri3X8c3OOfPiqUQkZnPVyCZmmTNoih/o18sttx8bX
8s7hPPupnI1mhm4LUepRePA3LhBHQZq523BCEChOa+tWHSoNqErYUXcmCcGZ0ScQfLB9CXJng0qg
FyGJIR7t+45hIU9cjzk8i8B6lmMTEX53LICu53vuQAgg63lmHQHTeo8uOFx9V1DGxIZYqvxbI1xE
VHRJ23+LjuqbTXKo+TaW10QGxiPmc9238mTKZXiqUPRaie3r1r2PKsrGUzOQ3sAiK977xjCIkyiB
y3Jx0diEreqvws8hLgaxXfQsxyJd0SY8hH2HgArZ33pthnV8FqaQfqLWCpS7GHf/xNImIRy5H6kU
RG1T6cr4eW8X2/4N96Q6oVVzuGOsQv52gkatyWh7gMeFWYgZw7wkLm5QVAcoXA/sM4xo5vYFBRHG
0tVdQfyEjMDSg5qwiZT8huLO5tcgdpcfz41GymBETRGvgrc5o4hBstdo7IyDrMf83qLHrvsbW3y6
kC6NB421o0y5yVanqriR6bUVj/XJ+JPLg/RuPbS1FwJZb5q0ELqVB/NjUeuHivMdbHAJEKJq4fRP
xVaAKdtrEx+0mTBSbQg7Xzp4c3wPQFSG3mtU84jHhvVrMC2Ih1DSVLcJQaexzb/P57cLpttg/Ymc
IPSzUOdXHJIIJUiMFdcW3KInyt4Zn/ywiln4eu9HlJpt/45Of/vdlBh2iRppuj5x3Xpwr4U72ff5
LsWUbhzZH2Bf5QbhDwba0JJMfJ3BUIALzQ54bFvMdtNZJthZ8NwSG4DUKOq4KpLgmzRLGzg/Yv6a
OZu7nf+Dyqn5iwg2pGh4noarkM6EZlrnTnRmKgjlRaxROCDXgSpKZhQZLyYCt8X/ZREpZ8lgo/yZ
QvWAYSlued6r0k/rNrnFMXTcYvta7l5s3rpVd99FzQXjhGAF58cCmDzT3bIH8XI/tQGsBluAe8R1
FrlQaFjrDzBZtXt0/aEEp5tl/Mgtam0yhnXIOGDRP0u+eW8sKUUxPLMT8DbhvC6p6REnnYUBh4vW
UDPIaexYXDOqgp9hFzXOkyXCfDzamODaQxPWCyrRZtC39JJ5Dy9zFS5+2nr1jAw/huXmXKMF8R45
VERZrBcahm3jS1KJKZAuEqedVF0mKNrt8R07jH7hJqC2BynjwcP6bEiSAQcQ8zUv/Cn/zusELbkp
VzYHXgqP7CNoQmwv/6zHCBAzy2zJTYjGPOTmbj15FW4joOLWgfh38rm75kZiXZt3QSBRjd4zNyeH
j3aw9BYtj6NTYKNMbLzy4rjWkwe/0/Vj/LAN07p8Fr5TT6cm7lG75GYJ9ZV13f1YmHbeNVIX6+xF
SNDKdKH2kg8JHtSe8GfUt1jQYCK0J3eU/Nj2SoUpUvfBegORMAARTeuE5rSQgMvsZOuherVCovqf
8yiexKMvWxr/OkIb1DOqWfgv4sRd5+zGi1vcddKj8XhZQmu8g35yVi5fiI1fOW8qfRR7QCeFX/Wa
U3ikCvihr3ynO6wuJz+r187REaPUixIEKot6l44Pe2EQ8n9uIo/rE9t0xzUpJ3j0RLwxbQkyYrxF
f84Su0637Igknqr+ZRIISxK0VFOfSYnfrUk8seYXQ3Vyh0E0lLRBh9u4MgnvN+cSMW4IsVsXAyhX
GdQuDgXLuJmxBM77bj/H8FbuYQnnyX2TXKW7OrHtypMJ/qEyQHaBNp1XqlHocGLTeZ/Qh6C8pTYF
IP9qbV8tm8CkzARx/tMSc/CjbFTnUMI8B+aIcgJNejGuOeNsZwc/CkojhqTWobPcrbGtftdmmeR5
6Qv3y0I2TnsGfphmfiGSE8D9qO67X6LRvS8QWXQpv3/dIp3K/fJUB/vyVgZIdTjEVsd+2QbsIiw4
LFl4ytZqQ4cEerOrfnlfoxV39s7Tni98nzeYE4knJcHorOivR2Aj0xKJLfJnFzAyoTfAZo1hNpoA
20SxW+lIpXvFHwv4IRynk/Wk8tXfDm3Lnv7EZNJju8UQn7/0zTQg5C2p2GJT73BrFl+RTaIUoSLZ
4UDYFEqex4pIWes+UqH7qTm1+mcceuaFEDC4KigIoiTivokepYf98IBANj9PdSQ7wkxoejvbioEd
0JUyJ0yrUGN/AXXL/IQO4AaTujDXKQmvmrfSgTi5XcV19IPCumIDnbEmuln90bbbj9q5+e3A4XWR
jUGoqJ2W5W1/CJfhpKFV32ynLapHZ/KBVlPOephqjHBxkLkSA+wBeJl7fYXCr01pxV0sYFGvCHBo
erLafg9tBfLAuyntA5j9au4nK+9f3Xxsmh9L7oKf4TnGOZJOMTTOEY9pIHHW2VsNpiBzGtzvfMTL
fZUUMF/f6APp3Qvx67ejwlb1aj8HhKKSCU2GtUopNXROEgi/ytEgG3QmKSJsBIHg7Y27SWaUWvpr
xq0oKL8hjVZLl9TDrIb3YWrD/I+QkQCo04yKes1q3x68l1CjRwYtwKTbgsKtmzlzGdEuMgQS3a+i
pNT2IHWvgWZX4armsx3qhtAXRafVg6ZrBUlmZOgzKut5nNIC2dILLgCM30YXEvcjUzdnwWqkmww3
+Vo2thsErvRq9F2YnYrvlFhzVw54t7cDBrgZOyW0GK4pH93Rw2CbqQIka5urCFamELc12Vo6wwT1
TbU5C0dfe9N7RRZuepwSLsBtffY25k8h8nXkGxL9JyNqHWV7IfPpiuZV1r/DioniyUz+HGEBCEFp
xBmx52K96k1KNA7dap5mM1bxtZqHsnxEqwEBRDAhfl0Mngp2dCaIPrMizChJ4O/rvW1J7mSoG/hX
pOqsy2ryAOba7ckJwtyqQ/8lqJBpp7Qol0ygptQRu+zQuek4BEsM5c9Ycli6rtI36an1bpsq/OUq
Wf4pwdvJKhP+3mYkfKAHD8fIYGY1nBsPXYFR/A4tAnphtyARJtHK6rxL03fyEe+q9wsFkFQZwmn/
mWllwsvCnPDFhkFQ2a6H7W8LElmkVAeFz3R5UFhvta2Az0WlCEuad96WrsOIqwK39w1q9aZoyiYk
pE9+6TjTHRI4dYx4z5cjeNYtDpm2yv6+VfP3TiCahW6h6eC8D2wYidxvdMuMDqFFnjzt5mDLfLdu
bcjRHzLhKtKjV3XBbx3kpxADyptvUfMKG7sFqV4991B063QxAUXKUYVg+zgjI3ISTCnOTqJfWNJI
TyoBg3Xeul/8Ebj3wXamiEmpbdZ7tIiw3D4Bup+6rQKdMNyGn4UTTu8SbVObgIqol0IioT8Exaao
WR14CWbfFDN4GVeobPSJoEU0oMW3kQbpry7+599uqHK4lNLS5ogN1U2JdWyyjnFApkuJBFMQxUox
teiMSaaVwYYJrLl6/qzPenPqO8gtmqEa4pMRzbPM1XnSpX7DQxouyWjZFl4PTKl95gnUCMcc1RBz
4EjDbro7Rr3F8HuXhhIUltdauO1Ft03z0I0SQyg3qvEDxupG/4AlIGpiaOp8ij0IUQix2Hk5Vr65
gEFOcrs014HtbkybrfCrN+Ln3LNyxl1lBAVhjfND74UhQSLp9NpzF8/D41C50U/LdZ87OdFdY/We
H3/wmKxfndEK475nDu1ejAc6uv8Xe2eyG7mSZdtfKeScCfZGDnLi9N7V94oJoQhFsDE2RtLYfn0t
Slnv5U3gvULNa3ADFyGF5O4kzY6ds/faLj0wMzuoynLaMxWfReFcp3Q/KpHaaB6H1h+uvBmtxKa1
yuGX5WMw6JEudEwMvNrEcdEojy5iQu3nW8L4lZJczjE+rDEQ7hh7jGcWqObFx408/g570ba48XQt
Z6aGs0j2dU2fr2ZPGZMQ11yKsW0pEMfM5HJ0G90Ojkt12gz+YHM6KcNCb1Poju1t6NWzuub82MTV
Ccy1DlGBLHCYWH1yP9+jPC0g3SbCwc914TzL6eTYQF7TORoqO8h/Up1wiKTDPdTdkSNzNUvy/Zqi
3zPDZLvGs4RYJduQCp6FPHEprd8d0urgsri9eGydDg8IE93kUY7lsFGzpZHJyUK0J1vlKH2Kzj9w
f6TTQdGt3cc2bA3y6PSp8OP+09ETB+1hsNwHUIJvrrLEH40ba0l4e9tgGRyo6dPk/FjAKEZML5qD
xaj2pfbwMI0UzkHkJpbaWtxnT8w4k9+Tk4Kc9S2jjzch6Kh9M1fD1ain7hMCpHOlCu2DYrOqUy11
/MdcAmvHNla++oP3FqNNjekJta/lbEESgDd2SUezeRmDxRYMsOPhAbh7/uaDhUFotmTc3SXasrt4
4cMcWnSCGx7z8ZMGZ3+rHeHqI8/9fbjMaEyKwkXXhi7jJ0ciz9nVKNFuO98XD7SNhk1FLvVOLGby
NJh0nbZpOicKuGDFRxR0c3GYZgN9EbpqOAM1/mT/5BVsISjlWvsG3BCSYN+YDuY8vbXEb26BfZjb
uEiCK0WL/nlt1AbHFOc89wyd1Ac/QArFLvFzapFHbpZWGB9ERfYfwypf2ihWvmPQBFcx7Xp8W50v
vU3v4O2NqITgH1C/doVBXewGotsh/hhQeqyg+2lxN7FliC2oNHlO5WwbWxlkwjnZtke5q/RUvU7K
QCRp93LINpnlZG+zHJJniHzFsdbIpBgSzIw4lIVmYhKO8eDJ8EdWswubY48cpneLx7hONcc3uDXj
Tlr4/zkA6PHHHNLoY11oDYFYU4wxxtIkYKATWIA+hXp3a9EcfB/8OxVAavoM6xP7bnaMQBywMGJI
hJGGqkV6nPBim6FuhgfQikJcaQvUMc9VR2JWRbiFIk+MhmhNZjKEJ2W8jFkP0eLUxoMTT/Js2Uly
1MjmHq0m7u0dfcjIqTxa1HSdktsRseabovt3SBjt0/wIlggJfmDtdTf4WxcvrIwSTLTFuTG58NvK
6MXBWCbzzN44l3yNAeO6QpvPFMK8U22lv3z8MZ9May2L4z8mCbS6awfb8KiTYkfa6lAUcZK8zx1n
MEZyZpWfPDrjJpZLIy+aa82n1N+NjirkwV4UmNbQKqsA+rltCO+thAM9/syCyruUw5zuYf6ugHmH
AdkUdR641y3ZgXFyIDXMrw9L64yvJQ0HcRCMVsbjyH7LfeHq5HaRsmjkllzfIH5pG92GdTRZdNyv
DbkMaOKjYBnnJKTQZ6zhRlQZ/a5KhgyLrzCm25Fjg7sZrDycGCbw5h+xbbjTvdBzN7yYdsqnsCmy
ugYTkcvlBdeC7T/nCEeLE7YYgvGqQv1pWZhybFeWdUlQTyDB1JqGt5nXDio/HKh/umZcmGfz6TBz
qivZ1+ceC8RvRB2j+CxCM0v3Bpqv4CqjSQDWtgesu8dgQuUiZbCraSJjmGw0evpNE7cY2mRbF6++
jaU4KhI0GdgJhvd2LFEkksH8YcJ2mVexX5F9VENu4MOc57QmqlVY5WbuvdTZ2Mx6+siGJUshpOgX
HCTl9bLtZ8JNE6y12QZb5PLimoAVmIbWw+vcN9NTJ50m4qnJTky9zJfed+c/TW1VH9whabXx0lqx
8ZRi11pwHDb5Uupq2GDYSK0rgQWfPEtOc2fUlN6PzLYknQbpqOugJwf4rpn0Ap+L4mRnLTGR60aZ
1ZhIEeSgIWA05AmLEO+ki9MPn8nBg6KsblmqiCphJmrNzrvHKDnfk36bkCanFFMYRFrOLqbV95xk
hqFvBmKf/IMvqct3iFGGhvaEIouZEtfAc9MJ9dHh4LO2tJmSA+aHlPM+pKQaFkcouvyhlT5KgnKJ
6SnxhbZeDqxFYbIzFskmtmg3Y2j5JaL/X7/B06x+/+NvH58lbOAMWXP2S//FPGBCKPn/+Q2uP6qM
eR6Z3L8rgrLm0+c//oZ8fP1H/3QcBAEGAWjsMNJIEFhbl//HcWCZ9t9N07Zh5fINMOL+xXFg8hW+
tML5QKegkv+/joP1Bwb8IJuizIJk+j8yHJjOv2FYGPJ6DmcbcvhcYXP+/yuGxRkZuxAZ6bOaEsR5
nZFWSszGUNhJAWRlmax7TyiKVHgJHMVTToDdUSTEc9zjHxrkYfDtxdkZ2Mu7Y6y4h68ZCHePTo4q
IVJ4SwW+r8B2VqEtQYP9G4/eKN8Voyn68/grTVQQBW5/dtNxAVu9TXoj4FnZIFzDac0KCnjxSABc
TQ4tqMnuJ6fmZgabZfDgoN1srRgpYsVyVn0YU+cDK8t0PgzjrmFCfaVsPNPYkvH/z7fkJjchculO
5uYdE8EFsXi5JFadHTxpOuluCU0jkFdjTm3VXfkYwMobnMxdeNUZaRBehqVe+j+iLEK9V5Qo6h1G
miAOCQWDT8lOq7T28DJ3g6kvJaMl/zL7jeEexOwu/pFSqvFeUF1mJhpnWvO0lNh9He8ijcSxH+Tc
psRyg09dnumy2uN9huE8uHViw6tuMj+Yh0Ps+oF3QCY9JB95VvfDNcfHXN47phGLPfsgyB5yNrIu
Bb1gMxPD6B6v7Sptx/YeywjqEFVwtmRjwRx9VxAQJxBqT10b752pR6fXI6FcTpj+ZM48FDQdGvym
FGfPK0PUwW4A0NkaZZg8oOJrf8OPy9ODSlQ+XJAQjNMJhp8cr1tEdW67AbuT5Yf19DEehJEU6koC
/Oq2jkHC9FYyfK4i9LS1d9U6Fm0oHbpDsc+0aL2rzq5r1F4dcJgNICgmKgbgoJ+pot2zQ0gFPxty
inHIGRz2RxsUSkeL06a4AbCcm2fYQzRNu45ONW+vSA7E2ZgM81hPva1RU2REScVp+8hJGRkuUqfg
w06tiukH1ts2vCpGu0vIkuPqNkWuIumPZvILfVVdZUe3RvBDwR0OLce6CRmHYdz4XPsx/1SCUdil
x8jKUTdGpc/8DrpVBOU4lO/CE/Cx6q6ul+vKTnHx8mHZFbVtPfcRnzUTZXNRHLlUvVi0PGHwVWwk
pV2m+2EsFRtqObn9aJ7Gwq6RGaEsi7l3sHJoIt0xCDR7UbgJU2J7pKvB3AIxDkWhOSieSGcQvzrm
1JxDZz8vTe4IYdkFHai4eEHvTYZLlOR0cjadTd1KrEOlvT8mZ2YiW1Izk39GLwf/EDXZYj/ELjbi
IuJM5kM7GSo0iEGZx7cJftuOkVGMfznHod9ZJ3q+zhmnND7paGLG/Biy4XKnIsHmMFZq9XNmLFg2
ERNJ984MZ7y+9E9pdA0N+CEmkFWNfbyfwklHNhUWw/OhsHLoR2bY4gPu75HlafzXmy4Yw64Mo9Ry
+izrQJoNBlfrf7fGr63sv9sasW/hkvp/W/Fufo9/6PN+Fh/V53+s/119/Gw/Puv2L3vl90/5L3fe
6rPjuURbYfkQlkN8dv905/ni78H6dysq7N/deebfHRxzAuAoWeGe7fCy/sud5/+d5Dqb1AAvNIk2
c6z/yWb5V84qg1YLLEhom4EDuG0NQP3rVlnNMCb7evFOCMX7gAFzYZJuiRU33cbxis1ptWc9jcYq
Lv2XT+7umy/9H1Vf3tU8Rt0//hb+ZZPmN6/lAchlj0+Ht/Hv6XOYSYipmWHzkSJcWSc+jrY+tCjb
IBKms9gQKgFOTiQcyJhHOPafsWv0fwe/R1n312IBe2Lgu7xxurn8RLyKuCf/ldlW1MyRQ+VZB/Bm
Q46sfuDPOm6TVebgi/sajzxJT0JgVhgGHs1alLQpU4CJ8cZwJCmFbRh6CA6LjOypyc1vVVrOkj1Y
r56bOJgqlouqwRhcFlKM52F2gofFIRljk0rUvThroDZksAEA28QP1mSNvyij1Ttj4C7e0a/K0FPQ
UvqcHPJe0RrrxdoyBOdPhVdL7usqsbhsCeFf6FswWGxbmRftNgfOxjTDyEqOGl5SHPEMSOe2DHVw
It27TOgmwX57KvrM7C5U5TSmjbxtsn1YZNI7L2Ha9y+xb/Da26rgexYDjNMp0z2/qdMA7k5yYCD+
2ZRMOBsDVdAd4yHfYrCCBifqSS28hCuFs4q+fwldf96NOYau/mAaoD+JIRzkq45l/Bs3KKjdCob7
T/JW+iTCihL8dHUHRXSGJuFEo2t0n31eYhfovLzp6H46KojgIgQ3ZYJpXwZunO48vNb2VpJaXqDG
HtQ73W37SQtypugp06U6U7m65b60BjoenLPcNxocAkee3abd1p/S4kWGAIc2GreAeRmUXHx2PK+h
zAjH9CFwTA+vuGs36Ekym1GLBUoKaYXuCbFh3+7UrgglBhBcc+q9Z8Zqb8LZHdu9XDClXFAbhs7V
HNQ4QqkGJYZLUucfoFXb/oFtKCg2PXXCzs/HglMenM9oNJbcvShQAK/fVzpDTjBsDbehB4UJnvMl
Yz5+D0oDfkjMbLC7Q+BlO2fUWkTcVQrox2aBT6Ie5MiwdEPwTljBcQuDJEJ7zX3KOibiSxZqFoAu
pldw65C1IXehdl1mo9SBQH7cmO6T1w68Pc8oHCk3I3o9OtRJWKVPzHJKvmkYmldLh2OyS0k2jffJ
OA4zrpjVmWZ7OnzrC7cSmxkjGB71rxVHS4PbyrCkcNB/pNN05fTeLF+RQPByjEX4zq4nJqmMAjIF
61OdWaxWtZjtPnJq7GfbSoc2c5PeWmhdSLIhnCgJqG9PE9ib6nEWXdMdJrpj8V7QN2foNJSmOiPe
9YeHrLFVD2HYF78At8sFZ9yU4zPxRVrm1b7ngtZ0FPxUXCW5ORiRHgWuUia8Sfwa0iafnoMWBuR+
SlAHQw7JuCO8oPZH2kalpRr0EdL3bVA/ygABZsd4THrHQRbtdwX9FDnOjnXQZg4CJCyDWu7hUY/y
FTmw4x4r00tDnKr47CCKKD5SDjT9GEmM009pnrAyJOv0L/LmKml3lUGFsIM8zmFFEiaD8CKWQfXE
JUEEVSAFy+41mc6YEJcitC/ajCEhmYzo5H6dTTDSAD3MOT0f7RWWQf7WB52M0HliitQZj18Pb7Ho
pDEBfHkaB5z0uCPoX4wMIM0J66nlI08jSsrsrqyJKx/NLGhOhLqj+XAygWvFXkoIctNsZc6PuPBi
kywJhq67xQGyt/U6zQUmykaWT3GeTIxO8BROhy6tff0RMCDstnIJ2V52mfCRqgJ5793rwrW1e50P
YCDelGNIM2c6R1V6CWj4psCEADcAd8CAdpqDgDuiXGTZbu2eKdDebcpiQIaFD5Caep71Jy2IjDkc
rjXPvQdsuD4mbsFtk+U9+wHEQW+4NFqHip6hF3YXZxh42UheWOF1i3r7dajbIL6YrQzjS/d1l0P8
5N/GGSreqDEYCu5NPSwDDaqkvQMBZyIb+boW5KSrd+pM9py8Raq2kUWqP+PvF+DXoX8uKifGgUWz
vkyJLi/1Z2AQAoA8IFYd3cWQd1XJWn96YK66GxDvLJ+Ivtgg0s6NX3BvYr4DtCJzfIeD053AwpU0
ThtU4njdUt6wTRCaxHkXsNv0uQ7jVysf+HurpNN5/H4EGyxQMJVjnsBaEzhKfnmjP5Mh5EUL5pm4
VmYOnTBZus9SOV2/GVB3A27yULbTd254zR5Y8PCWPiE/u2fu0W7npLdWxJbDJW2ynEPy0Bs8ueRV
xeMz83a+s3Qx7+3l+uviBsXheeDGa3exhwswCijBVIRGmea1FbjqHaQGy0zdcdBFd8SnEDO276Hz
rTsMeBF+eKUW/dkPC8sOehGTFU6JvKQ5PFf6vgfkYt8i5u6mH0KAhcYimE7JRWUVpHCSote1nlhD
urBTRzLoqWKnbvBcM65HIZfm7D9e1dlPsRXPA6JFM13qqJbm3O60VJbcQ9rnRTSmifXC92b4amPH
EWLftS0vEeL2os4zOB22F7DBzU86aqa17WC2NS8E3HB5PXvhU59XJCfDO3qcUV4o5R2Bg/Txfokp
ik7kgbXVo9fDBlhB3Ln9tK504BUNP/fd49fV0zHa+x1dH1udu2awcB5DoEi2Bm4OBmQuTeH9Wp2x
AJsoq1n6aj7QxGTXiWIa6OqMjrIHdgeUjNVQzLNhL3ipC/3pCswBp+9nZUHokG5LTzfeoQ/HmqOj
7LCa1+jq220517ztCigR5Oqv26SeJp4n6YWFDbHVJB4lxYYDl5uMcntjBjQoI4s+q9xXecJPZqTP
Vyua2HL/dRNiduU1e3VtsjfEDU+Y2TvWtrB9ba8VHktD47XZMm4QbOVkjzmNkd5aw4o9dp12UGcF
N1vuc8ZZ1nayCm6gsA66T+zTrfydSI8fP/oS0bTr5Lzz7yKKMExu15Rm/ns6wMW4bTKr8vce/SF6
RbYxU9GlliuvC5uqjQHCYDhPNjUa6/l6S8LPNlgenPXbcRVOPHrrbdyW3NbYxfg9rSPrMppdi92z
HwP2JKctuOQDbH8a0B4GymNopMxbsUcUXGw9BdxH9NEwGLYYzp3d9xLXTX7fvBBdyw/1koluytTG
QDIDUXExkMEI92SnHctgEa+LrgX8zL5tPJSjLyONefibCSsouc/cCqXhr6/B06xzyk7L7B7NmGvt
YFC5zZk4csoE2Ut+1fcrZELOtfbRa3G749c0Hn2/5m4BqoqmIpvduPisaKipo+Tjtt+HORn7j8IY
8vFKdIkzu5GPsS2+KBWwtnwvsHSjSYxQrlVax9AcoHCIrgVzxHCyRJhRYiv231yD9PXtd9GQw/wx
r3WS09f+vooejiMI30gd7wz+ZYZvZuQJKyb6DTjdSELY9AaUehSzKdapApEj0kHyNzcN9puMJl3G
ApYLmvdbNtz1ATbtHpVkmbjP8djbzKhk4Xy4AEM4Ywk/vnDjpMwr40GGlBSleCajO++jFmNDeWgh
L18N1Lzc6PQ66J+A+emjqqarfix06D3bEv3ZRtPd3MFGmHjcbTo+rooXNMJlJactdJV19cNe5B86
x2WZdy3o3RcfOWWycb2Oq2JW/SRfhfBb0CUVauUfjIV19Rg6QA0jO+15GpVIeMb0svCev/eruOA8
g8Zn4s5bqC5jyq081ZdA+EZ7QKnC3RC4i+dSTGJL2nn0+QV0h2BimuLWRsxS1MCoZ4/1c15XsoyA
ZKeEOd/795MEX09/zmLR8jcRRjyP0udYfTA75BDndIDKtF2ERSfKxXudbzhVYfX3O5vMVW48irB/
buF4PjH64kxNfjKRm9Cl65G3ancyrvaOq5wnPGWNR1cMNmIEtpqpuwKKeWSE1KbI6WLeNPUVb7RX
vkyj3msl6RbgwNmvTLXezB6T5I2v00xcakIE7rJR88mi2uLe14reJqKVJOAUVTbxnc5zQIXIN91T
3VBSnfC3IRZXVuAhPV2qgkMjUXGSRV94LwAkqbwMVAXwRseSH/tdDoNnHdlTnZmC8vvXCSYs74qx
gX07OZLP32Vnjzd0sXg+Pc+gwq76gc4xJIR2Z6vAdu85IfPXhDKsn6y1cJE7u2J5Y2UIIEUQXREe
h6VnMYIzx5sJPPYJwBP1ug+NnFmjBs0ny54ZuvGPsHcBUUKrStPloNr+y3cgawNqX9I119B8kgSY
KSSXu6RzyMLaFGhSILCpYYwjAt956ZDCeacsq6l3yCpgxsieJ5woAu3js26QkAB+Z02KYVKWESkM
4+oA1c20E92AmS9HvHILDbupj37Y8C1F21EX+AuPvvYNDNTeHCTDxu0TwGBzvr4f3ysoxfEscsxY
bI2VvtZsndQtlTYeZd+2j2lfmPYb0CWsMUoI57oLZ8M7O57iTIXqmuXQDFL1ntkNxDSDPJb00wYU
CGDG8/nVRD1w6ZDWNO+Wv57fJ5+qjZulzq7sSU4CeewQWlGXdkFy3S3I1fZDbqv3+mtz9RBPxPs0
Y7NGXhcO7oZZXFYdrTDxn5ToFpSgVWqN2xkOut7pueXiZqk33X1XLtRzq51O49fed8CKhgeDnlC9
hdtZqEOKzp0bZRmoyXoORJwtUfZ1l++DTzwa3BdjUM3TlTGmLPnfW67F6263NVxRdcaRxoIn/ZY/
ybfW7mNAtMvwHE5ornZFUlNjkBC4PklfFdr3/yNUo14CBdCHyA2MmZUfeDy/DI3uANk1LKhVcukH
7W7KjDmja2Pm9g6/FhOKDMKmTXAILkokW+uumfYQJnGSKHZAYG485GW+7kpAJSgh8dPzwCIhLoZn
JD/+HJU9rDYKKUS1ECEZp7+qaqI1gzqn/hUYsAMjeLSsGKq2kQZ97cSCSBzO9Usw6U8FKM95whfK
76bXxBrb+1l49V1DIpeqwq1aylHsJLeJh4Q9TH+ZItHBucbbd+jxM7onU64dmLQQYniYvurLSeUu
sFhIN9MGYw1ftV27V8eqNdfPHsvStMcWA0Yjbq1gvk4Hxx0elJtzuPcLq4sydL6/Yzwa/tnWJR/n
qgni42kR4G87HjNn142EB2zhxvLWlYW3HtQ96iVsz4VLKybOK3GlvAUB68B4Yt8VVEE0IhKIUm0J
2KlpaL0cGSaYaOum3NFbZk5+uyVYwyQ7LiubNbuvuyE9kESNL+dEu4wVLoovR4W7miuA0FnhftKF
c1ytki+lPZBqY9i4MUoXpS7a38qI2Frmj+bLrhGQrW1G4Pvmz75frGhidH5iKoC/o+Am1VGuhb5K
CfuEGWB4aAzcwntvHKGv2RwuA2E+HhCQdvoYv1wk8WooAUDaRBmzvOQcmMGCiB8DbtWRfeEDBKq2
FNDpDV2a8mOwnOYPO1QYxZawz45pBlErE/Z5u8E1TI+R3CXkgLswzVkkmLIiiatDUlE6fl4UFxNs
BivN4Oyu9o6kDB7DKumeXWPuL8rL232Qmg1bimiotSSaa9mJ+QpQefjhMpnYIJYgKkZkGr0cdJql
wsPWQhH2SWyhuup4NzRuEGbTnyGrDCbAxW7g1CJIZezxZDlTfTFnu2lPjR0zmgoCT20ZhLpHAYqH
OjaLMQb1HGuugyHE0MtSdG643SVFRZVfGUP3gDZe+sfM51BqM93BF9wE48fi6vjUSpHugOZY9qn/
8ikFDnpzu8T0Dx0iSz/XRtK0RWheH7yxz26wtk+byuzTKyds8Tp+maEYoDmsbiC7L1j0vQNQ2EZv
MKgie1k9VJTAq50KYxXtFxjcEKtSnB8280FYNslZODwDu2Dq6FO1wZswpPFOu7ZrkU5o29j5Cv9W
vTq5KECTZ55+lLWuJSBIfJm+JJ2bBxq41e24+sHsspvSA5Iuhy1/AIgKZTELt2tXgeVuljceuSHU
92IsL0Mpwjc5WMlL0iXmm/3lQwsZ3d7a9AXkhlgD8zEIxLg3mtW5ln+52CQr5bjnKI/DB227uvRx
0wCatKbHAvzJG4KwjCiVLz9cM7XzDVvjfG/ZDBYJ12rzOwiOQDKgo3H/eXAmczqnqv+TrUa7IPXg
9M5mEW6QE/TPTT9pylZmz5+EvdE1y7MfkMwJz8ryGIDdrO0PYBHOdVyHC+0A5fofI21XGNxxps1D
yx16tlYnYLp6AhG0+0RX4BNc9Pzc9viJNmUyuGLbZho6Lj2oVfqjiB7THFV+9EPFwLTm876nswz/
08OXlTHFo2jr7dB9JP+9PA5NSUo08SRGFtHakdUOh3DyYWDGODlflkdB93wHEgsjZCUS5wlTelGv
kDdM5V1Sm6A+3fqHskPWuC8rJSeVFlvlOLwTW17/JgsC12WbhMVZxLp/w5he3vSlX12bWDg+fXhz
BCbl7fg09ixg1oLuHziLU3cklLsiJhksT6f72vV/uXkz3ixtCY8wLKlc9w5npRPpU1hGpy/7KPtI
82B3lXspQ4FIMS+TF0JqLU7D+E7D1YHKntDdebKOb4rW0ndGYLZo7IfUfnGZclDKfhlZg2pE0+XM
sIhMSz3mQYu6uew95tOr+5WUY26DJJsu8ajWg0HDb9n4OWxlhsm4ZpkScZ7FSIudrp6jenXXYjzA
aAtPeHm2aWcx/VarFXdicoLysqTFB9ipuwpW1269+ncTOMQceTiSlEcYKkO/Kym9AW/bVnjnCDk8
Zhls2o2gS3jgAuH/Q/z9RgRHd1+sZmFy6KikYR38KJuM5wnbBdb3sg3pqUB6pvFvgBd49Oit1aA2
Vi9yttqSg9WgjDTTA5iMa3+eOBPset7eU5Bmxpvfy/NiYm9GKjCxG7V4nhfX854s7EUXv5DO0+LO
wTVsxpqcF+WQvhCI7CFLVPjEyd773cLGP1SrsTpYLdY9wLsVePzADTj8YThTQJcRlYzy1Z7trkbt
fLVsZ4arcW+XLitoyLOSb3LDL286yvQN+IJmP9V+ec2nY0ftlxO8GcnQ3nWCI4ojDPeXDZZpYxaM
AaYvA3mxesnN1VUOZ2P4lKvT3PkynXOox4CeWYOdRf6XMd35MqlznK9vUXW4oH2BT00P1QpNH3Rf
PHG+aQ/56nfvvqzvoUo1EkkV3pv4j17QrmKQ91evvHZixth+qhg3JXigueG/TPW5BLRLlaSGH6vX
5UkqaTI7RK16M9ZB+xLSwRmPAjAUG804vcSDOdVb4s7RlofpAjHPh2Zlc1wo6iJCF9jRCbVbzXdb
dXpv5UFzM8ydvAXKf545orsHsxYBVMDO9n4akBpCDAaWZR3d9SNl3kcyHw6OKtws3JWfuugEmQZo
TdSuikvrT2Ja6e/VTJjuZ4kDknMV7uYxWDVVrW3ddYXTHmsVW2dU1sVDj2jzI6U5eido0l63ZGdd
wC/oi1nYJWEcKJv/BLrs9rods+uMAdiJBCHjFn/L9EZnxbtOQe5C0RaeeiOuxgtwpoUtpmlpIWGk
UfJMwyA+OmmQvLlDbZ5ix2uwp/qzoluGAMTLVXsTw7Yz6V/H+csixsI7SwsNUiiq/AIjx1kiQlad
t87xRY+Acu4eRlyBl97V5GLkLSXawl0LwSRopocu9CCA1cMM+sqH98N4ye4uPidz4gHMZEBKP/Xi
NkjpgekJJ0DoJMQEcsZcpxldTwpUTxu9ttvu7GfjiCeNQRjGgOyDDBcg7CE4o42LoBXZar0sz0HW
Yvh06n0b9GLbLT5BZWXe3tI1oLOJnvbYLUl5ozgfcONOzNFio/V2iGqJrEC2iFuPZMYNGa/WjSg0
QI2hZm/S/aGGWUFnUNd/fJxIT33mFldZrQAwhCpeXT1dtQMT5z9CU4v9yFpm/YpHxbpWnih3Od3k
ayPWxkMI245nvRn3TV52OxzUfuQk8CMUQ7aLE2fVYc1iMRI9ZcfGMDH6MfyJ8nYyTiPHy72eqB+v
C4NuMPXUIn7B9AnhyyncVVbvkIWWuJVzJyoX536SDat5cGL0FRXlHA4ojAPMw2kLlX5qtGrAeOXD
Ez5HRYoBmT0gSF1IA7ZFV1wwIvdHJ7gJKIXkMRddemQpbrEgchT/LVHZ/VmMkDq9dys47OQBAtmJ
7wmR9DdpCPKFPMda03kp9F0Oiu9UVJUIeKqzkHyCQhibMrbccz3Ggd5YacyZoUmUfDPUkmN+Sww7
qj3TLWikJO0ROAvhFWBMnFPKiXpD6FTznMU2RQfoyDRHnC3IFOwK4secXHFuc4fplJfMHKI6iatX
1QAymugh74tG3ExMMEGdlKX9KpxiegLGWeKGmP2KDKQc11VUmP3ooNMf6yuGcIDrEKY2BojGvp6X
W7Tb3XvT+fOJswWnyjCe94qLtRljs/gxD2b1Z4ROss36DJhdbfkwWjpyVowx2/GgIVQaAUKJTZ4Y
3bOkriaB0Cmc24nZ10tjuv0VeUvtTRCojOfErqYcRXuim+sJNvw7JkrzFyES2opY931E9gj1BSe0
4aElJerBTSjJ8elb7QFgyTA8pJNHdF/QkWbW2wShooV6bgf5U/AY5M8ms4cagJRvAcCTDW7DprDo
UWQjxcvWG7rkMW9F+jhUoT4tnY8igTRLoE5Fy7HzRvIiH3BKtr9FZx3E6JLAbFUY6wziOUALIhAu
seRtaoBBMVlUoclrs0zjiBOGpyU2Y+9hGNR4AjGgAdXbszggcCyeoWSKtVu1qIM7GKzkpvaIPS3H
ahVJGHhEnTaLGfBDfI4k6Sy7mQQeZ5t3ynxth5YOTusav3K78fU7AFXzXOHRhkTJdW62iNANety2
eBBLYb+MRiE/bFxYmMCtvt2buTFCnk3y69RvumhkK59OlA2nqSWE765uGuOXavxc3PpxE7wWUls3
BYbN+sZrletutS1Y2MZldE615Sz7hC2D/l7vtMx1W4/cJY+q5449JPvREXoQCbo6J1M1Bu4pq7ur
h76smUYs+S+GhFa9z+2MFLA2TuWWkRl+myaLxY2MjfHVaZL4QwA08FnLadXcwBRrXutwwvvIuIzC
WU3lLZKu/KNZZjbSZs7F76CfCWfihZ/4H/kHiDCMd2VxJpuzenmsgIKlECwD9ha7K0x06wpQppdX
O4by2ToAbpmvgw3XAjhzMx9AOsonZNh+hKqRYRpJoHfoNWcEdIV/y5AdwpE3xm9BYATvYe0gEAD2
P8BBZS7+s/hiItnUcZ+sQO4XCfIX8BKmJnHT5oeFcLifqFGyG0FjlRlW1xOsA9OE5nNGAAu2sRqT
IrKB7RCq6mPJvfYd4SE6SSHsG2Cf/r3k7tunuNPuE9Z18Fyt9Z/sncly3MiWbX+lrOa4Bjj6wZtE
IDoGe1KUyAlMLfrW0Tjw9bU8Ip+9TF0zXav5m8kyJTIah/vxc/Zee9xbPDLbGHDF0UliEFea8BRT
3OInCcwyYWAs4lcD2fE9OQLIxAOW7SOO0ulkkiZ1NlcpMefAwgrpX78502LN+mvIqAHC8Us5tQ9l
WXTZjtSf6cRiXb+sUzd/i5mePsdx6xOmCo1wl02ufW6b2oIsovFUPddFJLIaWoWCNPuJzqn7FdcD
PpBQYR+plrT/sXbJsLWdQHxLHdt8DvLJ4belRBMbreWR5dCZUIfE7Cb31kgWa7/mdDeNvgEJM0+f
OvyuTwz9shf2308DLbOEVAVD6ING3Ddm3M/c49PpLh5ctcuH+YsxlgC6PM3qyqzSPFMmN5+sOm+i
xCuFG8kGhmqkpBlrvAOKlI0AbiyIcvZuENcGoFYY+u4zahsC4zjBISBgpfom7PkTurf0u6OV35o7
MR3DC2zMcQjfcknz22fLQDlVVGV69vpp2bsiPYDuKI90NrQ5ppGF9hxUzA29aTl7QgPOGKW0dFHi
HrCbXzzOCBUwFGkqWqj5aJhbQKWVVVOIqA8nH3sQGLWySWV66wmaTOOFsMZox+v2zsS7yJnv3DnA
36qI7KfyCQsNFgLf0cGqjjSw2IHCaV8gTjo76p7lXSpnOVboJ/rIGFOhqBj94V5ifz1lJSQGwx8G
DnlS/qDvpF99YLzZUQ0BqZOZ7ydPZueu950g8WFccNVgA5S0GdBGRbQdPpH9B0ELjv0RjASrwiVp
ZJt6qQkXHM05pN859KNlbccz/qLwe5wZ6gmOk3kLxQbOHf0PMm78dVHNoVSOB6eASKBvbrCGW2fp
mBJRUukAFth5JMnZvzwroeMyL2H8Hflt/JiSlPKQL+H4geM9jgw25ptwGgDycWmoSKpiyPbNcTLv
ndEAuvUc7+tuUM1SPHFhpekH0BrGNgrGT0lrqgrbIzfEegZ+wfQ15o7ixZQRKh3fuATJWzEYx2yk
jisBYm1IMh5uk9AYsXVM8nuVrMFhlCUBSeakXtB+iE+YiOynpQjQwLtmRKZZ80uO4z2TogZhbB/L
jeumj7nWSCMcBs66ZBSiTRDjOXfjHzpqduvEI1kAdpu8MmuvPkghW3/ixA2fraQJt505pKcl5ha9
bzr2uCB8UxwaX2xk4MN9sea0zcTaPBI2nuyVml+LOlxujKQdDs6F3TgLzXGsNNJRg28h1rpecFMg
PmYHkDbB4L4mQc6OnVTk8WIaHTUlctK8yPWCjow1RbKxu/gWjlL3qXPEQte9RyKhaZOmYxRP9MuS
2wkn0Y+l0TAwatM1WjWscgR+eDJnA4cl8I3PBXrnGxHUeIKp2eRDJjvntggJNXHn9NVy4/ALVQ9j
KpXVu3C0nFv2b2bbrUlaSlHfJzRD7e0ytnQ3qtml+lxCD+G3xmwWq402JFvkBwqN+EaaNZZO1QjF
TNlSwYeduPNexEUCl4UmGfckRiRbNGnZfiEjZD9aLQBDDBQFYZu+f6e9XZQTspC7VYNBXY0I7SSy
Rhprd4XHcQ8dcvgc52QwSZHeYw5k6gjRn+vuJEZusgrHQaTzves9cpWsiEI+hNd6TNoNphVYSppW
CjCz365hmD/Zybxoc5LvE9tslZ8hv/MWW809tTUBVVxgqFg2Ua9DdenuRWsTMD13yLPiNulvAzxJ
CKEgZB+GeZlPtRPT3o9lc5joi+G8sqoQyAzP8LtaY+NHKcbpc0NbidtdMDZ3aq6KLeHs3X7Bsdlu
um6wfzqioD4WmuuKOXe8GYfMYXxQYoFPy8zd1SQIfuQdIMlwKsu7tVxw+iKzqaeDw5h7P8E0psat
Zx69pfvEaJjRWyq97hiAXH8IpqEi0N1i4mZe6LM+4qF+S+6aeqssorMZEmhMbRrY58mXEi4JhLdP
2VB5d7BI2rNAmfGUe5nzMqWAHOhClMVLmfMXq4SGC4CqsHskwws+7ui54z3UIvEJMDOoZJpzZ2wC
Tb2VA6EKsG5XDJVFmwPfA7zradE8+7PJYqUXVZANe2692XiXZpffmMgF2k06zz4xFJSjk+xkszH9
cDi20hyPcQJ/wAmUyaptTWpzvMNF7iLkB4u1BbwyHxNyFjmrgn6hCZTbFj0DAosAXbQAOVujjV8r
q7d+5TQMozHgUWnpDEdOD9LCCdv50cxMdWT2xXUidNOWLnt/M3R9BzLLHeWehiJMkuKCNq405biX
KHaRk7Unrx++tH5mR6hZM9DqthUj1I0n4N8x7sfd6gG0oBK2e3aJNJ6PuTdYT8Ek1l+NBi4DIis/
RkM4vxoy1bds16t725r9isQo9OJtGo7Lw0qE8ItYlE+vutZ3njRkQMx8sWuSN7WSzLMRrWDqGmJO
PjSx4e16gD/lDlFT60RCTgZuZZQrRCsVARTR0QCL3ZUN13iq+Pd44BzeMFFdeAOjeVyxmNK7ril8
I/iwY3N2hRhenNDNdyYNHrh1c4iN1Jh23CzDXYm0nKbpGNzRvOi4027dSjhm3dxXwB3uYKWwUbdx
WWPIqMB4qMOfdeQWAnq2eWjotXamuWR3ejquxhZYvRD5/R66DQ6OXoLbKIKD/fm7UYbN5wEA16Pr
1Ya/mSqXU0XHVABDXUT7HoMMWY+INxp3OysPdcifX8/vunbh+B7178WDhor495cDOYAtPa/pSiy5
/Uzz3W/JTMmtezeYZ4zzQvY3iWWxZGcYSl87V1Yff34Fl+SWf34iaFRtGxY7RxktH5388rcY8hzn
fJlgdzngCFdIqXJV7NZuNd4JjfeimmSBE/f7VfN/4AfhTF7eiG+bH4fMyDHH9uZT2WjR+9Riyjbc
YTnn6Mi/L1PR3mENi/OtlS7QJ0u4Gsc/v3ZLy+3/8doR0rtED7u+b1qO8H+LUDcMlD+NEvJQ5AMz
VLth1rivEE7ecrMJnxykuo8ladc/ORbCA8l/w52/NDEAuS4IdsnSjW3055f0b1+ojzMAu0IYmDZj
wd8NAoipJVchi6syVnCxydPegJnf9Wp/0V41IP9jnnrZKwr/Vdabi+T7z6/hkhv0z48FgyTr28Y2
iSXE+c2nMZMakK1QLg4yIxhgb0qHXKBVeC9oqyHA25CX90zuZwCZ3PA1ZqPVPEAaxGu0DLP3jsHZ
/+q6+QPjbhhFmZrHE+4MG/aXDgdAyw3Ezq3Hz14bou2Am8p1s4gTxit+OabfyYxk3DBkpXT3iT8t
jPYyEd5zlAQPf36v1r994CHeFse2HY+qkif6t+XLxJ7pB0iL/VVCEDiD1qwhSECGWSvTem0MBylC
RpwSE3tcmO+enm0cw8ByARXCZEAvKkFYn/sw0LKAsEB/YQ+YNe6snl7XKfHG8iUlWkci19QKpv/w
Dpji/r6MQ8szmanaDlO/wNcO2b8/gjQ3yrSLmYoPmRt/MMIY8B6udT9tsnGiO5uqWr6OlQx/cV9q
X5gP1vGNslekhgyIEPPYQVqAy9F3KHNs8ltEs827Jby0OjFihz2f9szGvttqoQ2BIyz9CbWZMT7D
5Rk1V5cIJEOpmrCeMuvcWCoFmgL8KwAVBvE7iPy+sR+5YQS/skQYx6KvLe7KKWmgKGq4sjjhcIuv
xS4jOUqXYNV8/eZ0TXejGGnKTSlSW+xix1c/7U78LLjtN3/Zh6BvYlXB9UnCEmWLpLylT/OEnwgR
bF8xd0nUGQVi+FDnUCeZ7oDGLD5LjAA51snFrB/dMRl+gOtEaBGMzK2ZIfLoLa1rI2fqMJpvAoZ8
zWntLS2A7gAWbfppROjfptpXI4yVv2/TYon3pOKyOKYiRbDowvZ3wID0iEwwvxoeGTh5mqPXQ4y5
uQqLCd8hcrmDwFJGTl6td2Q1rrcqVy5gatsjdmd1GexsQwqWKhod/6bz52Tdw+ypd0U11gdSQhyD
tvyA2poTb+jeGKhpsw7GSa4pndTbyBw71BFOZQogRI3Wri2ZwVLMDZ8Xd9UWBYvDG0PFk/4MmOLK
TWpz8dvMBDDDkKDP2x75Yfw0t/XQArmw697dWFEForyTP8zGQ56yONolwYJD4JnMjAUiJP6KYHgz
4ZMKU8EnOK4lay6O9d/XRWOyM+l6vlMEes4TCoC8+V5lWG8UjiD5CKvNkvcXxXAGn7WpOCRQ8TF2
1PakIsn591fVZn+xJBkhPYHIlwuykbGzrVdV4zLdkKhLtEvMQ5EQHAP11HghikVn8WQGxzKXDF43
sC00M+vcInCusYV6ABkYZe5BPVnkYZEBY/1ghoVcpZ7xNp0QxJvxHaws/6TYSudjaA/Zuo17CP+R
6Vnj92okq2GbxKt5JCTqdUnL4K4Yl6KIOkFf4bG0g3HctbbrNXskgdhV+DaNxySXpTqoBAisjbqC
akLO7gMwHpQ29uiBZonxGM3SCYC3ISQjbeDyIDOn4WPOMAOZZB/ZHTRfc31ye6dfN62/2mJrYBfG
HsOYUPQTmlEsOlXZRWZK2RbZmEs+CiRY1qFdVxQ6EOERRjNxclk3cc6XD2l+TuGUE9UEq7ZG58gh
mJMltcy4SRLWzIk8lpRJR9dLIgRUkiTgU0shWOCiD58qW5+dvavoeAPTJ0hlqbUq7iJmuvrJJOxC
FMAomsGJ4O1BrDitqFPhvaBQaxfMQdSAomcOlc0w6WxeFwNDrrFlAi4J/Tpi7EhW+mGuiNv2nlVN
2y5GmXNzfc28ENa9yf9k8os/Gc9GHbJswoUnelt7g5HdkOGwvOHKGZqDWCbMDd7FVhC0lvzRupIr
0TxX7tFyF6JI6X5/J+ss2BBY13+lcbuq7RqYvg1Jr9dYMs9hR7hKuMYJdvsBl3zRHEI36579yrLj
XV6vK350tiDoFi6wonw0R7mbrT72bkiK5U1Sw1dfmoA4wyio6JoDh7L8fV1mHQMULTnYkIkOl3Yl
qjhCK2pCgLcM9aNyArB2sAntGx/lUBKVpGlM8GYS9NPIyjqw1yshrdVid0+W7JpTX6XtvcHi7TYm
brNHXyQWcxVETD1iu1T+AFmSfurwn2M3bA37xlRhnt44FyUnzi9WzRLY7CdXbXlG0Dudtwx57tEU
S3aHaHr+OXIMeBFqxtjYZiOs6h2MmrjcmAox+SmESySgXsf2iUQbvqiBQAt67S3fqmk2jXNkQiPb
B6MHNLerEjGar06/KHZxbvpn2zKgbeZBS2Iqe2ONK2Oo+KIvPyUdDUT7Pk0AJN9JQQ0CEIp0txUo
5BRZWRzT4eSYvBVpH1QRCXX80r9OAeGx44Bt15JJIdk16ssCXC5elKsBxfPm7ACWr2BbaO37OYV5
+ZDYOb2BXDhlursoY/umzxiRAGDEbpd4T2hVxjsX5NotwJv4vKym/HE53gS5r3hD6Jh16BxSdtxh
ygQnOoF5W8xcxtazFlq7w8zQR4QrG/tY5jB9IP6UT2XotI8Z5c/b1bkZcoDILbNYb6JZJeJ4R9BA
NZ8qdGZMFRnmoMXtK54Py0Yk8jIV3HBfGOVT3bEDIKUJ/LKJrufXgsTxUPZO8EuuQ4BeiH7ZmXay
caxHQb+BSD0/GstE/iJH3j1K7R3oYMrEm2SoiXOH/liQ2YHQFgVZaollgy3BATAoaAXQzKZBRO1t
vrnD3PzE+E+IercU8zeVmQwNRWyiLZ0vpgLf772PmkoJ4KiZVF9Z/mCpYGd+ojEWy/OI9yFEi5FU
uxRp5OOlnhacx8WefqdR4ZF3rAOSYvszWqj80fBc0Pgk04a3oGERu3Gvnz4cf6lgWnXJ+J2SkLgR
23PUuu9oD2OZ8irUsJNfFSG7j+3Rg2GEmz1V80z5ULaeTdAxvZ4NSE/2vQEVAqtHm6XmZrRe0T76
X4OKbukutRbtTrsYsYKyZ32yjKePJeOO7ximBj7Dk4uhazu19d1CBdYckbrUWGFR/bU32B0n5DeC
w6l3i2dI/4Mit6GfnuCoIi8Eb6AfBYY4YmsXI9wwI6FjYwjlvMOmYLF3nc+zgbial2uWFdam3C/U
uCGu2do5tBE+Rtqlr9CAs8jN8NhsCIIPbz1PzfWW+C7PfpW2yYdiaUsslqm4+7qgDv3kpV65kjhG
FvYdKesO9tgCawiqHvBbEZdMGF/GiJ+QFmuMTt9qgTSekO2gyW/dJX4K3b6JbOXV94ZtqdvKCBOT
21GJWbSDH7vsUTTKAxyLiTuJUvkdCWYkD+B+cmbm2dr2cj0sE7PX1YyuY4a8WD7TNqt+1ViWssfQ
mZsyKoYFubRi0NwQ3sQ8cLOUOaqtEron83H030WEW4kYIUH3wd5z4A7zK97I0j8wlgJdJbqulEeP
1nGwt3Da3pI0xtE2EFELaqGykkjRZ8EW7LuFVd57feaX4JtGaMX9ik/W5wL18+pFMqAVPoJFYbLA
uBUuv9HzBeHb5JPC+8RpmjRZ8YhukIp8NrDgKnupggiRXWEQ/70EpxUAqhsVbT2JbxLf50jQVYAC
Y5pTklTCAYsWwdSKNYyikMC+1GcuY1i5+1NRIo/bwFL9bdKk7qPrD9Pz2BE1sANyG4CT0C45wiDR
aCcp+kRSSOJDq9seAcFG3/B2pt69jxLgYLoTG8xVgz5lVXGEZYFKYGYCtp0QGU0bgxFhGpHgYv+o
oYIdOWnC4oCZgjotsF2MX37SU4P9ZVtabfQFBFWpx2t9614tUBdLqy2Rh8JshQhwmk1zoizOMXvt
wtlf6TvaUn7FXscnOFi5QeqvApwCSzjF1dimK3g1E6HNxktWrgJNl7PzJpPk13FVsgGnYTi/uzqe
Rh6J94lFWm4FDJ34pnXCoo3Q9HM7QeGVfOsQUYQnNi/xyiwe55PjjLpAFxabgOOOjOmymg7OwRpp
DTD5hhAXpVYwLFynUVijUNPWrr5e+Rhs2o18UBeTMrloupAuNCig62eW9+po52IL2UztTf33sYJo
531mzstPHuXU3lUgTVOo6XP9jXvbPH5ygcUYRFFZHFbUiinGTsOeLec7Qj0sB22Ldy0e8adF3sXL
HDv6/qCI60B6VTYYGuArwOW6FABkV/ENlnLEyuEwTH2Hls97TbF0O8fqYmpdQ4TtXgeNJSq0H4L2
DMtiHjr+oRMkfN5jpjXmARdqNOIX+9LY6otWnvj6+iFt+eMqJmcfbuqXxgp4Kf7k8G2GVy8QZF8W
bTW1yU62mf6RF2Nj03oKZyr1RoUrlLDe9ohmiItJ3htUmV5qE7tOqjoIJRzZvfHiSg7pF2Y1/F7S
BjPntYgVWxuRhPwXQTZSsnMZ1MEwDuaS9WlZhVcT8gMvMCpTYRDnxUXMuOmFm1qnHlwLnXh8Kv1u
tCl57rix8OfrllsNTImP/pCGtz2rWt5Xna+bU4tpZdlTOCkdOdoU2lWO9s7K95hBhvdLaXxdS4FR
9eUhgVKTf6nchHXiwkxW+662iM5cU4mpj6w87oAuuyrW4cuKioOR/4JWlatj4tGh3pKVRYlzXVFX
A/HVGsnIj2/eCwxeJjdf88Hx8FninqKiGL5CWkc8w6UnnEvGx15CjAgRF+4X0btYK9iZcEfAT+YT
ZbjY1QNoX7ni35UXaIUp6bA+Xp3KIfNpZBsqo3LOIe/1EetFEyyE56TDzULD0T7gJcQfDFua193M
Es1iogaJzE1vCAH1Hc82EjH8kTb6FihEkp/TCorTnRlrt2ACQw+rCQHfnC9EDjPJx3dQnJH5Gd3n
CT09RlN4iMkuRrvDkLEuAE1X/qyxfwlZhTXRVtNndB/Wa0xuHGKFoh+T2yCI2/rgUhWSooh36YG6
FzkcDaaSu3mpPoHzC94dxGR3mGj5RC+OTmb4vA7bYQC5Ty5GLwW2fg+236x2dlGX0UQ38Ofq2eXN
zJ0ciG7YEDRUe2kN3KiyKCAh6DOIDgcEBp4/caWv0eneTNgYrKjnMpw+zCNemKhj9iJJC/lI5OwZ
JANXyU/8CuIFKLEzRY2CwkoAxWSR6mGs8ou52GwxTYPwe2dDXRu361i73Td0WfHT6jOfYpaigByF
gi1SNhbLB9k8fzbDmq2rJRURO08zwS/fYNuZfy50m5qdQtYh70sc4NEYt9w0XYZUHMz0fKBMXE8W
x+UFM2Pl+V+yjEbLJITU2hCe+XxgRP+AzaNLH8CDs1gKxv3PXOBpiQyokrCi9gQZ/LLinkDPCYMy
qawphjQqKC9YaQKYVU4Hzx8D/QZxAaJ9Yp7a3mgFqvqY55xtami1WZOAJP4c6hH1JkvydcFDRcAr
aJJLZXc11zZk4/5AFo0ZmCka7whgPp/lpWoXI62yvz7cagWZthFTNryIjlbGpnepHrZszXX2FNcp
z7hhacrC2mbKuE+ctW53MRbxdseIvi4i/D7yxyxtFn9upqnz2lp0C56C3uONuL4ZyiCqRr9F4QoE
letYWGSJ8blZyd17jV2W4ZckGzCvOW3eLXcorZL2aeFLLX5WNZ/TDvu3fkYw0BHcPQ2Tuqd5b76Y
blN/wViqPy4KAJp9Hub6FwyhYxH5bu0/ByRmDfve6718F6OJzrZ22oEZtzHVaJKUBUQMblkMnnsY
9nYQN3dJAXRibxYLCbjXbuzAeZofBqtPR2IJcigozEIogIp+mb4RMiLkOVsa9jNLFXxiYWGzuVwZ
Atd70rWVA3C1yn+Z4LH5tkwSW3F/jzXfmTsMc/dGIC52/+szF9cS5sulQTX3FStH2ljWrmiI+QIK
qGsQGzthONSv5cXNhbWOL7eg6ZJG17VvXnqHYeVTfBDVyFdqIWGIOWz0PTKHTxt/buCj9ZHNNaja
TsLQTz0zM4xURCE1p/ziur4cklc+Bm05fsz1z9he2LIg5OjFX8dqeWUIlJhYHNCoH7NhsJNncJiu
uc2Xuk0ffDngZ4EztOBtHltSoY6MLnHRJrbDkr4usbBZ2R/yhljWv9ZKkujSRM7diNGf3i//N3fk
D0DsnH0OFQXQA92GSh2Pd3W17M1xzLvq8KQ5d/PsTa+J0g7R61NI0oleyykEtSObZkawXJOu7XUm
9v9Zm/8RKBY4jCv/ABRrpq//9fIdUvI/cZt0Jvl3/xchFv7Lc9i8dW/Kt03Gnf8PIeb9y4Es5jq4
h5ky0Ar97/+CFTek/+e/Hf9fQthMyr3AsgFhBn9DiNn/ciyaW6GFt8H0mVr9bxBi/zbqIOjDg0eG
Ng/tl3cZXf1t2thiAuoXmsyH0lKAba8Hi6MI54Y9Htx2s6b6W1OOyogX9R+mv7/zy4QQoQvCjCaH
JZi5/jYupGdsor5W6oDw3nq92OGTVgS3pe17dw6NZ3Qznn/zt+8IW72eLf8dXca38ft4R7iAfE1H
OLzj0Pp9vANIZYlTyZAXzaA29CdYNZMeteHUdMkX8ljaVwY48Rudw3zdEBrO/4bec0taE5U3JhpK
l8pBt8XEryfhipyxr047oqOuhuZsZMq6hzvqqx3iCU61lmQ2dClNfwzjdHnOMzmthz5gFAY2uTl7
SLYO/jAGUYCX9uvELnEPNjKILr9OTrF6JrgleB/xGNi3HUpFTmK+GouZJQhjKy6jEu0HdwyOEy8y
4ob2Mc2HkJi7wiBN2hnnaj8NaNq2PTrQhBuoPgJL3TQfTdIXGB6ORz+GlLElKI+sDTKY6a5U/RGD
I3VdJ3uWhm+V07ITJCa/BQCW32jt+a+WkL79tDi5fXZ9PcFiohO+YQVgjyLhi4h3fS0ZVKc3vi6k
zSm0V5vKHnWpqDDIBc15qVhuban4h4OlnvEzAnimEyXlYxuPvDOyh/FzzGZzJgd2yXm/lfnQCxnu
vMWeHLLYLLZ7s/LpH5XtxFu02rZNb+yxAd4cTM6WX9jNUcXDQKw6gZe06XWjjURhAzB8Zt07nVGm
N/Oiwt2E95O7VdKqx9A2c0ZeRoBAE76nJKJlirHgT5iAgzIw7/EW8HyURa2eAa/xKRk+/a3ZqKx7
VHudfWBS4A30mVN+ZerWw48rUkP5iAo2YTbr2HNiWrZpTG29XRIrQxZsuuETt7f+dVkTw4uGWNfq
Q51Tt1/uMRNO/9O1Cp9Wf3C/D/ko74Hp8AK7Yl2wriOz2uiv7b5wluYwxiP3goy2KTEIly7ZKEqW
pt/LItsqnDKvUn+cS2bi8YmXNpvIK9fnbw+ElFl5h+k04i6Y4NS4sIdEMPOzKq/jjYYWnzg5UH2w
bcJQPZoNYQS70GzRO5L9akFmi+f0AcGd5exDEy431VYr/KPj8QPu6pKLLjd2o/VuTUOU1S7xTM0+
unxoXhOb9zMS9ndT6Za9GXfhLq+03blilPdM/S1eM218BclSN2Dd2/p2cNRAvVZIXtiCvhppUpOQ
yzrbpfuVN8NawFDPp9lQVjELnMZTLtKGeIwUKtJ10cNc5SGxaQdvV2RA8FwWa3zkL2SYu3v1a8i7
6bO04gKFAzONc8pFy9P2HhteGa8fCFUmXoOltO4JpQiixeAxxsFo8CgEraEeCcyh54yd+NbJ+FPi
d1Sdl2chQ5vUbYVoeflc1+Mv7QjH5h7mX3/MSV3zbmr9wUt0u1Bz1iWIuhjiFQWPUs9YOdm1xOTy
JkEeqWek4RSbhTFN9YuYWoNMUrrpvjFzPyW6nie1Wyp+E/l0fOEl+THxg5DCgofr6BI39237tLpu
QrJBPGGeqRlhrtuJ9h47islSJ6pAPfpFJ17bBqU+7xGNppNZzYnLZPiGgNz9mnPR/jzT4WN0KIUq
z9hNGQcRJ/XElTpHmAYzkEZoF7PfFNR/briaW9uMsUJQAGf2Bo4Y/xnuPehjYkqiWcIV2UjOqZsL
vOry8XgAwz539NXoMnUmaXDxkD/kHZnWNcTmAzXiHM2Wl35mSDZtG9yFz6SxkGY+hOPWsJN2V7VI
nzYVZrOIgLZRbopQ9kfYsvH3csm6LU0mJoL0yCK5CAtT1Rp3xxKSO8+Auy5PNVnyZBkVLs4Rc3Lv
QxW0cxTUa36nCHjao4nhJt9xMNUb5uKPdEPlB6RGyBIWkzCXcAroURfmxmT0Zre/HB0DFxAvwmLI
VcoVkLc2imB3LxIoPbhKubbzNWkh/58JNO0B9Y0cTGUHYBiZc94fwb2MbmRVY/eB3CG47Q1d65rk
34Fg6tvmPJsLzzM6ZBJKYbHg6pZDuKucuTeiHvUIMYNuR99KTVI9ZtIT84n49fBtopfNdITkqFtZ
XbYE/SzAp2ZbzDCWhjulbzz7xVrZ2euWfVKvmKxmALhJuTE5AAMa9+1yWR+tiac/LbQ1PM+bqdun
SPM6Zjy+eu4KBz2zN0yU7TIOMIQgnjjnVggFgqRB3s7YcJyGmd9JRIdheaAjy1ceBjGvhfFyf5zT
gA+kcIokO66JnlheqGM1Jph3gXnxTL+QMywFgPBhwWCK4gvcwkBQv8P8yL/NdVH053pEFzl/EwdR
/LjC9HFI0orXMNffBDNMNYQdpio+jE07/TLmebyrVGds8c3MhOs4Rfz251/4W8nHL/QQuSFGCi2o
Qtgz/qluycSMDKkU9iEhzFCHUqDEwhOMoTcT+Sn2/JOpcvN29Zb+9L/+zTBzvQAYJ9I693cdlFNg
rqMHIjhbuKt0xFSfUILXh5L4rTNpU3i9B3vBu8984M+/mSnBb1Ufb5uynDY4xbYlbPE7LJfwqTrp
yI0/mBYI0q1NbXdgDE4NYRGDlo74DixTBVuqs0BtrR5wX2Pa+uCdsiXd0cJC0xSk/t7FmffLJqEm
6jypjqOZOrf5OEyRLWc2v6LG7CDJe11S9PZeJVntpCvS24V5fszsMT0Evdk/ZolbP6e9OW0lTNHj
0Fsz7gaijigY0/KolLHt/e5p6tQaBZ34IL6FZhnZFJq24aNnE9mvZij0QQNi/mcN1WcPxL65IT3L
OMHLS49UgZ0eWA9fSDCzN5a0qk8SS+4dUF+4MS6FquXnJdwlcjEDfLkbErs6sqab0EKjzd0UebPz
I2W4HIUqcU6ESIJ+u0h4SNNkW4Nxbz2SqKk+YRV4Z+oZ7idA3w692s48YPsE3NEZHI6e130dKqLI
4GqVfsU52fVHxOPUMZa7nutkVvsc8RSqNbgB0Zh2yeeRVlK78WZiHEWbxnckoECJvExIW7Um74or
81e3pj5RYH7TTY5qiR5yPO9XZj2USktNuE732QjzmbiAwNJQdwg3JPyd8bO0Z9BARG8KBp0bRs5s
hXOxWG9NmFr7LpiOgZ/IoxU7RGMTyg4PcJGeExms4NPlPtA3UxJhdu2fgZWoQ1qOxTeduno2ixSg
U6y8XSFjZ2+XhJPijko/spp4VMaBxIGYxnDopBqOTZF5mCyq5ZkIme9+o7KPDNzfI0kHHsdGXd1m
K6uHnJQ4slDG72byXk4CVerNUsfIeidJlE9sGPn3PMBxZcclMCKInXtrDPsB3YgKbi7f6JSypQe0
H04FbdQHi8f/tgRjQKTZkr/lw9CsG4b088Zc6uzdNWxNCbBwBWOe3VS+m36psgSiX+97UB6DLjmj
lk2PtoHblyN33PUDrMoWZVnXCnChsrv1RyB1cdDAjm3SHg4UDymsRht1ctJU6wYuXLhbyYyh4yod
dCWJF4HmK0/DNDanOi/VcajtjfRd41Yts37fiX8uYU7aTA0x9rFjc9qy7tx3T+fUWxaJ1KJGHWTO
XGKCxCOzqhR3yDE4YGuUqMKk2p1SOvBYpGaqHwiE1iuGFDfqyWd6lXWiS3o9Q4ltZiJJWenbSg3I
BUMhVonMcwHu2Mv00KnaIILH727nuLM+4tyukDQu6gGvc/OTEU0dXfCEZOXBBSYkPO5T8okCd/jp
YGPkCma3bLvG+jn3Jgoa1/Wemzk4+21B872Sy2mglui2ENegEwnuAm+F4wSvw+ImP4RKqjv6R/Ub
qAXYWCJrnyeLeMfYmuqd7EBw4c2FCicN8CVmQDQFkqb4yQVSctPjHNxmDnMOav1ns07LuyQZS8IE
3D054sbtDOb1a4ref6t1W/dkvBcPptcFNx1i7HPd5gt2lgJmXReu9V3bxuKOe6wDIBMfXo4AlGb+
4pDb3BJFVY50WYtlfZ26tH6X4+BGabwm3xIBXPYsLvDlzKTFO9P6zrZWrmBsShGgHFEUK9zFOd0v
ZRA7p3pGN708tHgtX7pmLL/M8KHgBVTcPK79QDxwHO0cfB/0EIa3BVXiI5lZNmfbpJ5Xtw1vsy5b
nivNSpsd2dNJTn7CKQxfQrME32iTKTas3ny+/LVJFdZ9rOaB218rwzeTcImDGVc+ju5qOluDpx5n
o6t4RuLMeSIeodlmMfZc8tuy+QUHi7cnEKNB78y26ude/2J3s4j8MG5Pi0Rl1abl/Owtlnlmn2NF
rrnhfG1djyWq7W7veH35AK5YynIM6RZiloqfGJTZ58qlckyYJGIGG2gGbMSc8K2VweB/kAzqRyTu
lShGRq9jvimCA41G+6Nc1QoVIv8f9s5kR25kzdKvUqg9ExzMODSqauGze8yjFNoQkiLEeR6NT1+f
eejeSsW9rexCA4Ve9CaRKWUE3UmjDf9/znfmnsMW7zAih/AqrXC5BLQTn+YaWi9rCxiIHGbQMxnv
VCsnWl3sJ4F2rVWbUskw6x7F6ZDdN5Gk/2YSku03SIwdhEnf2c6b39nhMVkuMBeZmIf51mg1xotN
3aLWsoxlvHHP4MtSX6WHUxVvkFAGz2VHlRhbW3XRj151QXgEKyvgZb7eXFMaSZzgOaYc3O8QJ0XD
KoVefYgHz3kRYxxdUy+odNK1f6viJbougibZh7RZN4Zrq2+yC/Cu1O14RT9en9lBX7xgf5leel4d
+qdTQZw5GZ0canQNowSQnK+nKiEJrgr8y4E7WK3rzgfI2Df2dRFmQbB9V0O9UxNr3SwDwMtEspit
v5FYuK7DdKSu8D7r6g2ea7gcX8GiXDqRvoo+yBaWmthqqIEShuvyGNuyfE7bHLR7SCC7TlILqhWJ
5wh70FkVn9Cb1y+5USzHqhqtFzIJ3ct4rjg5NWwS0I0ruTJg7FHE0+O0HqH8hq5wL7LU8R8Suob4
AcrERD/bxmIv6sDhQNTDPVQUckqi1k9j36hHr8MlS6LBtInaTmw4C5CfxYC7BsCAx8yP88eZcv6r
Re7BlwQxysGb1XCUAHnXwyRQqUVhvyUXjRoPv5ix4RwFRuqXCsPReuzN/kg8Ct47iJEBYeY1DywJ
GM5YGYNLmvnNS0ZDDYfS6M23tszrI1m/pPiF5qK2ApkkIgY7egsduzrlAzubzuRdHZaUZV0MzcBe
Xs0PqAB6tC9ee9XNQ7CvYDRe4HB3Xgd26NcBqTFfsGTaB2xj2XEhFm21LNj0jQbsT5i0xgpZAIPQ
87vwO61m7/YdG3k+6i/65JWb1sTBsQMIbjkWVBzHmLchmsQq6tMdm4kMOIi/oCCUE8KM8dhO2tSX
EBhCJ7Dg+AMnDBCA72kEQAfcxDBd89Q7s3k32UpuUdAklw6be0aESOuvXjIjO8vCZCHorrOfz+PN
zjs2ZwF0x2NA3PvKmIWEigBYboO/u74cTBNnflyFUjuSxwMFmPASFGR9gMnj/Og9JpEViUm0T4KG
ltcQq/BrHRU9A1BONM/D3rLejKSMtpFVZlh2wvZYL3OzQXlmXBInYG6bbBATG9asOdhFOqFyTp2D
p/KBqAIoUdQtyv0UA0REnra8NpK5OGbrcv3eV6t0IaEYJcliNsoxPFUcH1VXPSUSwu3KxYh5TTrh
vHab7K73wmXnpagMvChdTx2mNNyg6LkjNvrnWb5QMoAl7XvsuP1mg5SXKqTmc6KPYY5JbX9jds18
O2BwuUSbzM53YUbixNu9Qtptnpys4y/auL2WIlgWbMYieHbOqpFlqsq3ZYgN55MaCwQGjX7JloDp
7nzzzh2vPOAcYNvMmj3zxn2cZHoqRUdHxc7QhaPQ5GdPgrDYihqm3T75XU+tytKiBrNH/0oebtoc
TWHGX0Y5zPfz1FrXA8owa0tBiwVvwgqOVCmZuldfMe1CmERj3fVe+QkubPA81Q5l1jMZnb0+QiZd
j0WOy8phklO5By3v2tADnWitAk3W9vpgvkcZQHV7XKzHxXOKGZ4mCdggPgcOyjPFFmszeAQ9rKWK
WLrjdGKvCmKLf4cdM2SflJK64ZlyzjxVdgB+n5kXuci5kOnOPdsbapP8M7CzqXlWNp0AeBDq3vcG
btECFeLCUYPzaFgzqwi42LZlkcrI1kNSTbUrptpuU6tFzw/cSS/piWasi5qnG+i9+sL2o2M6Z+SA
7cjquwwP6KXlcftwHXLe6hW07EuMEfCWg6DkzSHmsCi2BFro7d/EDJIxYUVHtInBM/hW+RnOTH0V
6NreUOPE3y5eS/l/cMSlNfTDoWhHnnYGVWYNeZbTxqzL8QQqPM+giYAIoic8SmuEawDoIYBBFNF9
V05Z7gJknFeCaKe7qvX0tH3WVJ/3PT2N/WOIjuueUiLVGttkAYkW2Edb2jhUpJOO295BXw23eBLF
McbiKdcinRSWV8tFyazOl29Ez4/zk+wcloQHee66nJsOA3Mu7xTRnk7nBOS2C7BpQcSwzfjuZsyG
GFEXAzjWpOp+7KkXNbocbiu2MmukpPzzvHS+S54i1b+gXbL3oYcasWFjnO71CRBN45iBOChbXxgr
t7cIH5Rheeedi5DnicCuKKwpJwou3w8IDjskOFJBehPRXiDxtFxcshOGIvuxOE12yIWRl09Wq4tj
HBwAXo0TOirysWL4aiWZxU5AG5jE6bHJmXp0LcjLYaKim9HKUzXT84FV1r3iBKunVUp9lajqkrvE
AVKnV3RIT/ylp7w6UVWnbzFRPY/KqL9Kg7A5TjB1yYNHP4MIpIe74ug6Zkb7pVg7cplvnZkw+CPp
ktkVvgmGn65Bgz2gxUH6K+VmWTu8jSmo3QfMMuxuSshP+V7NJv0NmBRs7GIqkRfBbFCY9c8fPumD
KNwmJqPvWYyhNR1rtovB9txhQhfN6JBBwSUmQDfzAX8ZNgziJU15UTIPZKRlZvUtYCC4CrT0m68s
exTsgKjwq5DMBM/nfVgxUDYBPlsyfLF1OMfz+goik/2cp/T2E5cw/y5dYMfrqcR6GvZJdOWq3tjT
HTVvZsukYGyU7KC6rvc35831eUxnAwU26DDcvRGxFeVLHBmzqvKrMDbzG7hm5U2US/UZlKd17TZT
bIGpnKLrFoXWdVcPito3tZjbsCkog5dnbesyRianYXuQMct5lqcbf5A85rBM5Fe7ZCdwrA1Wx21C
Oym+jSTZsVvQVEji49K8GiPZqtsY2xqiApOZk0orqitMAcgt5Egj7ZT6xtDuoU5Yy2UpLOc46HlZ
JiiadsFM0fhdW39+1H1Nk5CtNjM9Bk90j4Wu4MMP8mHVwz+5VGPD7I1UCiVCF4fMkzKvGKEsyj7Q
VtYrIcbguUV0DTKQweSB+GRWlKW/iWuezst5Ri1DdmFM+pP/SPQB9BfUpiCKyJffWiCj5Q/DD51v
5E6PrOKDLIZ0TQRrCGmWvOdbql5QNUO7aJojeGAe51Jr2vx5O250Cw8IRhkj32cmSoeWXk8MC2+z
KD3ALNOENkboK+SdhL9zRMHZpUO2tWYacQaE/T07Ypw9872lT+ET+nNNAiUz5nrUb1QIkPaCRD5G
U5kMvBAcuhjoU4wSHNYFoo9VlfhwL0BRkTc30BEN9GZsOoSE4l5W1Ap0LoBW4U2EbrebpR/jZzfR
ippMpeaRWEh1Dypn2JPmWj9bXQ6L21W5rg1TVTlP4xxhwkc0nmm+sbnAcVT5tPZQeVw5wVTeVQNG
ziYx1SM7SlqW50OLEpKiQl7hqKaaWGxSQIXzGiRTvB2oU1+bFiIoeheCCT325gvd/rsetP/iXBXE
GEDVhenk1VBUTlfSaYPdVBnqMzsOhoywpPEjHmRHuGM278fc94HQkCHKWrvkkko60V/rEVHYg8GU
/aSFJrsu0DvnsXSvyj4eLsDsFnv0KfFzi8Dxsnby+gUrqPisrJyE2MmUj7+vucqPhW1efhPNEIAc
nIa2TQTpn12UizHidwkme+86vfWFfaJ/khSVLPa57O1+f62PtlNpUdFHE+G4EG6kKc0PF5tSTtjz
kGR73jkUMMg6K4P4YxONuYhSvwSlJEPvzks7r70IDRvqQYMtcZ/HGXj1KiU1AlBhXRxEzUH2UeQ5
HvAEswWkW4bqljFZY98lXZnI+XrcnT/+/5fY/KXExvSo0/9GYvM2/cuqHcpuSr5nv+b0nX/yp8jG
df5gM2Z7pu042ITRkvyXyCb4w5S260CaxoENcYjr/U1k4/9heibgAfzhphbikC7XVcNZfyP+oFPg
Sv9vf/N/ldNHeqBneWiAbNgCnvwoOAlhuXqEt3UHMvDkjSzd8rOoLUA8hkDZbisxP82eUaEy+vud
+idClw+NJU6X1Kw503BF4Tm8h7++f4U/tqOI0/JQDfYPp+imL3DBk52VmfETlYl4+9+7HLcQ7z9H
KEEIMKvdh7ZSYSWNlZcB+zDZ00yysU0fFgiBlzRNzVNIkMzr7y/4D+oh+jguNlGbKyIj+vj9bHjG
Q9GG2UHO9bRVQ949YK4x1yLjD8nNyYN9bDX2X2iWPt5VenXkI3v0j7CIU0798DVJ2Hb6RtbGfjIn
Tnmk863Phw7k2f4jIYfyfWr4Pv+v6K36J0/RE/o3/togZHr3Anp1ru8HACp+fY51TZYrAyw9zFHt
viCHr59Jh6tviPGTJBz7GXGkLlChaCCM24E5hMggr3eB66qDMAfaM0EPBSgMrum/pekeZ5u9bpAk
n1RgWI+GPxEIN551hrEVixOm7/y5D0fntus7crxsOfubit0fIRBxE1xCi6w2Ll2FTZrZBiU/t6hv
iG2RB8dv82es8/Ii6vizEt1qu5YgS66o5i5bBxrDo9lQEGlFHOyTwg7mFc1n+xGcvDiB/YrJAYzU
LXYi2JWcRADYDEJemDTLHyV9pBfcRtUGZ0B9wxmy3rkV4MAd+h3vjnsIoBP57qYdefIYVZwjGavg
UEc+c5VQzAtJQ9kvmY6xcHNxMjnQnsZAe5FSXfJHzZyw1Ua8syIVgiEU9FN4FVq92M0hG3VPmxDT
OKgAgfk2OZMz0tmerlBUPSxeyD4FMkbxY4nYB4C+tyc2omxzm9JkmZ4RWsE4AiMIbpF6dFkxfvcl
4vVnUg4sdaGQYn/KE0QTT6aNtXibUQLKUJ+RlwCIiXr1xpBcKQr1X3LKZ3fjthSHJ4924MoJe3/Z
Ahoyerbn03RHxYNz69Lk/t3C+fzuPeFJuC73PJ8LhTtCNo/6Pb7DsFDjFzZc97GV3qilF3H/5Hmg
soKpty7Yo5Y7QPXkp6GV6rdGjY8FGF1BvbcmsuY0GBOMgcrpEFlnnvtDdqXHIV74N1ZgVPdk66Gi
TePkoVfovGFdVxPmnMYNt8W0iGuMFXI1qRwYDkeAZmt4ZfGMvtw118ZcE2UdO2M37v2uyt+mBOoT
6vwC+S0noRpHES6liySHo7uuz8dLGqXBg2lHlImMqWo/p/SmbuG3VRuFW4LUQCfv1yGH1n4z5rP/
XCYo7U4WZpTTEnLaw0I2EGQ9jcYrRU97Ow2B+8z2BuJzjy/Gx/HLoA/Aem5BOaK+QGpD7SrF4wy8
SBmvpjWKz2bL0SKoE//Ozmsem+TJM2DsdZim9U3oMXmcG0/zkifRLu51kIzf0I3YTVFVPaBRMYJD
F+TcmvNZ3i8KSspTw+h06xZpuyH4Wl0y8y6zNKKINiicWsKNr8mErW8IwmOHj52Y8wRJ4/LQu8I5
IZfj/eGIQjZ0Kq+soLS3hEMHN8x5tKwDv8Ai61XTLiSy6KGQ+Y+E+OZLkc/VpfCK8MsiMxQoGJTl
BZ6Hmjg5z7tzuj6zTmasP0ZRA0YdnK4Wq4h4aSSKNe/6AMwBJblXs+U6T5fwNpNrmhRaY4cQzzKY
BeKE/7MweXFBl8oDXsoKcP9MJcpXFBi3MzmQaMkyxUhvUyg5R362ufsZ0QX2k5gWi7fZavy7YkZf
mcoisk5T3nEeeO+ecKpzDrPMbZxCCUoegNx5cRnggsEVV4GkTaP6Jh7s8EuYIZdK/NSo1qjPOZ8l
Na+gJQF1rjmUqG3rMK9QPqHu0pqAnUekkHdDGgRfOqlP56m7BF9IcoUG6XJAPshOyQvDNzj7WUuX
wkKeXXldlLF9JOjOPYZTY35burb9ZPe2uwJv7wNpktqqZFtASjd25IlPU595hxAAZr0Sowm9NLVy
3k2qlmfmA7MlJQdlVtwLv6/APrMDYMYxSUP1wsm39kEd1DPeCxoUgpwptSG2krlsLBWasETy7QpK
dYR6GgwrXFjI4bcW7dWDzGwGJ/7IBU9xP+YCFpFizIQDvmwwvFIBFhb4V1dxq0ufSPBeWgIvHww4
mHtgWQljv4PCD/sjIiGj4lnPqKZXIrX4zA6Nw008dsbNEqnkKY90kh/2EtzCWnMzD7r6V1qtpDuq
xX/s9zW0TSJM5ABnjRcYscjodqd2zYtB1zLJT20CNwrYbkLSCbI9JEDpykqrmxb1EaZqsLyyaInZ
BGGx5ZAXHNV5Wh+6eFmzngc7QaDhZjSa6pVChHFw0mV4spkZdj5pGSAzSbCcm0mewgJuuTcCCybD
uNumhC5sY7FQ8M+j9ECnVoCK9fxTkfjGA5mLw1Mnh/SwOLqZYy+0YJIJ+zVBrCklKYiXSCE8pq/W
ql4HDa8r44Hv5fHX7Kj6kwFi+ZMRIVscQ5Xu2iWn/h2E6WWRt96XFBHcdoGovzG9BNryKAvzXrrA
9e2qqvYClpXYAAgERjvJMPzio5N8IfXUolMEZbCwYDCa5nLfDSGcRAWnqLa7mCxAK8WP5zSIY7yg
XVlDh8GfqC8yQsMr0O+Wtt543Q024MjYG2QTFMdY2cWngM7GdBGGpTEx+5JGe+WjlU8wfShmDIJO
QhJ4srydNwiTEwJghLPUUE0D81jXOcRL5eqsJ90abX1S4BhrwtstqsSfJDG5rJqknMgpwu+/tXH7
vgX42koMd2N8ogE0X7oLFXl/NsTNeTARo1caPPEUr27S2vaWgGk6I6mNAWiYsvswV+CSyrwBEk79
Obj0Rlld0lhMaBUM1LiIoDKPqJQp9Jg8+uQ0tHV7EbW52C8kyN1C3SzLg9ERIbZv/IHQm8rKjEtS
csITq32A8LRNnzLWoGiVTbkmCzv9BZi1OKL4RThAli1HadJxxtsILggLe3xl4YY7Ij7EutNLcQEn
j3oriXS4QYxRXqoc/hy6mZwuPswoMCIe6VmNC1y9neh1chimemiJ74p/g7npH4CzPE80s3f+7KUb
VN/1xSw7RHfx8oP23ycIROpWOJAKLjqZDwIlZAQdr469LUXQlBdxYiGVghooLNOVH/uMTyItxUU/
xQQBlKRijy7Y93Cbx6iJgDIngUvkw2z4NN6TmpAFYS/tzTjPLqwKM8oGD+LGhIMJmfGg+UfReEvA
SULqrAB8lU1zMz8MrTT3+GqtS3jEYg1yMQFsKiUJvo4Nx0uExcEsjOYaPlL2qTTUW5VO9bXfg7KG
kmVDr/E6DcF3Eps9R5r38WGwzewCh6F3ynQjduUNmYRyrNQa7QGZQnMlr2i4MIAKBwNoaZKlQqTG
UNIEKUh6brP8cpxGecgJGtOhQP6WbGzxEhnbPhnbE1uM6LKzvJzIImc6DUmXwvJwRkx4/PzXjBgW
JFhB/zJZMXDg1Ad2wDo3vBSyr3aO1ad3VUDtbmXRDD71OJtOIKDE1nJhXjNxuN6bERfgoKvYHq8o
ZnqYFZu3nkhWpNVL/LJUUWetJrBfdyGJXmh0hDG/WY3n+5vcNUDaCzXh4eXpOzE5T25hgUxC0eUj
BW0VeHhCIE7QRIgqdZprWMrJDn1Jf18p3iU0yBFAdgRx25HX9l6vtqAYsP+9wqCu11Txom95r4w7
K/GqNwxkC7Vtw7l0TF5rujy9if3ST7a4IIvHWrRyNc+L/9V3XcrXIZlwgHcIDqmwsCyA+83qgUQ2
uQPAn2PRCCmSM8+Hr6UzDvuln5JvLn7mowh7jzR0GhVKjyx3sdHNwoZuKUVO5a6Os4YnA2GoYOgx
GdLqxMdfVVAomkej7YhIJLcM9mq17gtP7AE3j2tg+buw5XSb+0BpQhPbJf37FT8XX6ghqC6w9NyA
L/yedm7xPYzDcm0QKkYs0uBcWrzolOYXOpez4fgnWD8FFOFSbBJvFuzrZbtDHRIVq1BOzQbQqHUZ
LJ6Hzsb7Qtwe0B7C4JnIM7GDhUTQsLEkFbEXdf7ZBxv6LeEVQZif9cGhFmMLUhd2Iw09GV8bGvsf
5ZF5h6O+ZEI1YKJHrdhPbK8Ocmz8W7uKDjj8zTe0/sY9g5pY9aK1JPwvksg9N1dbE1/SxdRzlAIE
nuxh4NufxNBy5HfJKiEQXc4Ua53FY2e8nAMHp862PzWI9Yp3Eci58TrGQ33jAMF6GRNOckZL1Ktu
grLdaVIpDxXFhscEQBpWfGew1/WEhp7skpow+bN50q3q3VJx1nRydjtOFvt3aY80pQKj8FA5HgVp
/AXgVsha0FlUUDO9o8roUf++DGHpOsqH8zl2Is0fx1HkCPdD6bFx/Jx4nDw9pFU/fYLda+Ny9tkw
jZ75reYopJ9lCgU3h3KyAkDa9iuH+3ddOjI7UUGNdSTXNB9blVf3v/9w/6x44FANFZxPXIfCzAeU
XbvMKcqWDH0pbOqeDKnILTeohThG2EH6w9PwpXLm9O2wlGxNhdt3tnv29QOQpdyZLTg5w6xABVqg
mWon+JJW2BVWASK9ZwwaNAvdwTnZBQ1NuwwcYqIoIcBnEKeYoVauerCM2LjQmxKRYK9jmgs/zpvN
87W8kf/RXVJ9NprYNCdRJkoCXGdOC+lsBEyl4MQ8wHg4Xs7PuMqbimhFJQ/mtHh/wf77UNzhRAwB
nfXXtVwtjT6DAf/khitg3fkGu3vik+mw1AH3II05ilBjGYkh5Uv+RXXnH7XYgsIEh27HpNr4D7Ud
t0VkETnwm8OM+3tuyxdnIBOTbb2z/KigUoMoaEPTwLv6/dj4J19WUlSgPOhSXJIf62cGsTxDpde+
8/MvI6vlJO7kNxxpqpvJJeLnfL3/sSK3vtB3aGRtEsV99x//9vPCm6/911/+Y1v2Sa/uhrdW3b91
RGD8x7+9V9v0//l/+pf/8nb+LX9Vvw4Cm9v696qsvsLPn7z+Wrz9+78+fO2yr/33+G36Wv5Svn7/
wZ/la8u0/nDwQZK44rnUtW1KgNNb1//7vzJxMJ38rFe75h90VCywLDjQmP4kl/5bvdr/A8QorFPH
g6FL0cb/75hCf+3cCN8NCGUNTEJ+BDBP2ji/VhwTZu08sGb3ltHpRODpU5Q8DuvoQ8CJ2Fn96Y78
kwonlfBfZlBBVRPhhGvbHjVvboJFHf7PnaIhzYQZRUF0DTVwoNSHUN5JH51JUeZYCOVQ/brjHl2n
M1suYEumFb1YgWpbKp+0u25puCIlI2igr78lYRQ/SMsI42jd51n9QBkrgKbd87MA0i3ZWTA4w+Yp
LpqqgxKhCdfgo1sODFh13BfOadRO1m2y2PczJaa5Xidmkv3oZFlb1jote4gM2WIOxJanir1CG2Hk
h04CUuWZNcaySblxcShuTH9KlgCv0Oh9N2xM2gB5FlxwYPqwyBdrPxcRCWKg6JpdQJllPg6FHScF
tQqXQ+e+A0qJEV0f1gPDuF7qRRSprZNcBOgv+MEVxDHCBqshvJtbCX3RwapmuQOZOTh3UOY0JcCg
qnDwvzf0ZbdBRxFh47JDiC7tIlPiAFyHcOmh9HCLIVzwfV0s6p9Qu4TECc30TrZ9N0NcaHIIc6Ah
8KCtcDXb7OPxTVnXcSXn+36J2c6WAHUUFRsuh+QP/0FQEoK3ZqeFDkaSfk5YVTTzW6zOMKunFJvH
0aGlVm8GPn4IDL6s+A/+vMG7aYZJSokhSUxy2oNAfV+KZKTzbhLFKaw0dbcEmwsDbCkAvt3kuimB
3kBdyAouwc9W3M+QcxWyBr4HXfCDmQTeHRUBPiPnDXrjsNrweKTKcXZ26VMtxbbHPzWnel4DVwGv
YkNDfVpskq/XaQaQdkV+emAjRe3r8oKy7XyNyQAtuiAeRnHzEwoi/G6a9aii4JRkIw32iWf7VHsc
d7AfgFLh9nXQw+puyQ9Li/DtLfNnV6sD2BcSzeLXT5Q4BsTjFHvj7xlA6meo4V1yQbIdIQ2lbt0W
tVvd+R4Flk0Y1BRseNh8eMJn8eMNqgtvrXrm6SEt7p/mkPrZHqlh1eyW3sgSbqnWMUZ10T/1ZcMo
4enIhbZ3iskrRorsHWOp7WNNi6ZuX9UdXz6TDWwYVLkUWORE1v0r+YY5LSXDkO6XrtK66SWfGWKm
HkQZ0Y7eEUTP9D0NCqM4dHVdiE8YvlW3TiG0pt95uXP1ymmldwpDriC69MLbmh1mjHmL7CvuAjyG
rL6Dd2Ehbo1aAET1zCdb3meh/7HV6c+L03/s3yo9/3fnNerva9b7KvX3//x/ZAnDS//bJexaEwn0
avQvj2+E1fRVm7x1v6xl77/h72vZnxYvB8KBE0g7EBadK+mARfi5lnn+H/CVLQKM2PYAqdUb059r
mQz0WkYj32LpQXZLi+1vK/jP1YQ797/tn31Yy1wA9jbsb1YzX2rHG5/uz2tLkzVFBYwv+FwvLUgq
j8TOmAp/6o337yTqv1jMfuVfY5yimunr7XYA2952Pl7PipTFoi6sJycesGMuVjEHRKHME0If1NaR
WBVm6hUEOXcKZFPIfpxNdGDLev6iJgwbpxo+KZTrxXXjBfdyC7RGFkhof6iU9enkyWWwb8qCI8Vd
svQavWOVVL2efv9FMJX/uip7uonLY7Bs2rn4BT/uD1ujpvJD+OonbKP6WCbKgpuWJRpS8w6dk71A
sG95SJT3ToP0GU+uRufQjobSiIxKo7USrbV1Ut156esOC3thkGyz+wlm0me7myx2+D3lmQdHyiZV
Nbzk/D+JoDlyt1h2XLwG1MC7a7O0Ua+VNrL+aRW66MflkGfDqVpqZe7mM9voHRDzDi9uyHQBDhS2
6IJmRqKV0P1AFI6zSVQgod5JRNwAzD4QdN3PQCVVtosjShtsPUCLgujseI7DmaTnjkILCDU3bZP4
qp2/uL0Nsw6qHk+pAkPJikrEULhSSksNDRsk0gWBrcj33tk2s/LN7jpiYhQHa474qXaauTVmi7j0
gKKvtW80myomOqUURzVRevmE3zburpkcm+U1rrGc7wC/xPPT+1OgXsadt4qG4Q28kF9GPgIxe6B6
QeKtDRYJ+2Y5//6ZvhmcZnQs1PE8j6k+EzVqxAT50EjHAhIBRWCUdBnn2CIYT3CJeorh1D3Qzawq
19VfxBzgRb2Pg9Qq+Xf8A3yRzkaWJjbmIiGPkRMY2wpGVWKAXEhFz/Dv6HqM9/1ZOtxMOIrUurYR
kX2RLI6p3FpRMxsP73eu8LUwk7oI6jUc/BGNVKOlWbKhvqgV0YPik4ghQGtpToYJNKtRo+p3sJJH
a2ubde5766KkEI9gq+bBzrnPSIOc6vFWNRaWsysl+BE+YlhTxFzhz88qnOU5TSQgsIoHF3sm71XR
GTMDxhkkj0JRotef+/yOki4KbK722IDtYj/jwQJlQPM8U/RM0zXdXwe+KAiXoqEwLce+itZJRTkl
XCe5DOavWPllvC1mJxw5V8+A34Bxh0HzVdqVZVyqUjH0Rjvss0/YDnnL/CHi23twBpkUzm9ZRjZu
UEOoZJ1/DLykSi6rgPTjKyOTfDgST0HwFanDaIzmiLtZF7UwhjWwDp5y74aAU+mOtMv3IDLM8RZz
GvA4o3AKRpBL442v/g4qG3tAMvtYUQc5vmvsLCNiIDVtzT/l0FvNt7oMObasiOqisA8ikTFdl8QE
nEzE0sxz9blVycyAoQjTFQI5ZG69ar7NGWMPEsH5ff35g6pm0ORVwiCOHcNpvvlnzgdq/fpFmRSO
S3igXc+QxYjF4DeNYEjWyThZ7ZcpM13E1LRigdpMCy/LcuZkhmmlp6ksgK1YIbOzb7oM9NR9eR4k
v59C/2ECRfWGXsMywWHaJkqcX5eesajnPGjM6pm63ZieeiS26pR1IyPLGr3E+m8pU/TKg+2DTh/r
LSooxCK/Xq4JMAiLtqqfzYH4y+1IMH17MKKkbXaZ3zXjPnAAq/+FCOdD9Utf1UOcYoIQ4vq0lz+c
FXlnE9Pug+CpFTRfGd+FxvetafzHapNXPk0mJKRV+mNB+WErItXjhogLJ4Pf5awWnGJxu+7iMU1/
YP8l3m9rWEsMgRZaCC/v75+IPjz/qVanP61vEvBiC5N8ByQ8H+5RT/Q8g8rxn+Cae/mJVrQQT8YE
rg6BoF7G2qUHRrxVSzYvTCN9CBnn/EbYTjVZ418cffXB/tfPgxXeR7Lm8rFgMLm6tvingtNQGeQU
ZVH/PEexzYuTeYmRpGtmRYKVcXymrH+DT4JkQ37QxDQIqRJxfLzqPSAcV+rMXstpNfIu6CRt6Jb8
bfEKUBdx8ppVZVS0Z1IS6FdcS3XtFrjCkL5EiNClx5udtUA7izO5X/IQeOl/f8v/4SVAJiVty7VM
rGjClx/2XyEhyg2nMPupGzunepLlHKAVEQrTC3DTOFFvv7/er9VYnvC5gIIWkCoeLc6PCT5IuclL
F7P5NEAsnogQSipR3GDXb6H+//5S1Mg+Pj7PZpPHPhZwlmvLjwArQYhAVioRPtaTkhM9lQmCgPiB
Sr5xxhPnlTB/7c2BhaERxLxcNXgHuuvJ6ln9sZNhuFnhYhi64TSObTTg+D/PpRUZ30iaF6cPvjY5
uu97AT5E4aofLaecaIOlWfcAv24mU7vvWPloGGuzIX3OYrmzFhFW9+V5zh+GAdLBasQkkJk7jB+p
t3eMDqP9iCb5lrl09PaRoZx5FRUk5SBRxHuS0TPWXG2kAQtbphYxE8tA2o5J2e3pWrL9eV/GHZbu
8ALrVWU99XBe020NnEgVG4JzjUo+idFOmmIXUQSPN3GgmaB+l7mGugkbvEs79s/4Ki8nxEWGd6oV
hFlvPVQzIokE1qHx0NGH0LKapUx/oAJDBvH+JxGfthnbdWLnU0FTJ1mymnKQaDTPtAynjiSPSMtZ
kn1TkG814TUfqU/cTQ4Fxvg4lL0rPytTFkb7vfF4PNX2Xdvi0sAiguNMH6w1iDct54ywctgtBBBg
+shHdupKsuY7HtKlH2KaWVyRVfJobRR2xausC77u+9qKSLxekCcW1cI5gJdv4jWHvcNm9n3bLsxx
4RuwSDms79Tw3b1JaI99Y1VYoq5I/ComUEl1goN9BcpwYCuOOz2cnkjw0hdGcc4rnGR5KD9TQc55
hbthYalmZWOzYGdIp2+aZhSSfe048jgMCDdA071a82KwTYJ7mQuOIa8EFk/Zp0VrgZgQNRJrQ2aE
0fR8mfO+COkde7Cf63MatjT93rU5hUz4+O9XrMeOqw8aUtUkKGLW9P27r37F5v+QqILNwvs+uj2/
EzQvSMnYExFsyDvQLEZ5kSnC3eHH2IPiZqmah/0qTbDEF0Kmepp0uqJS00GC43RP0g950NdO5Yzl
vH//1UjsTKI7KQXVDVxZE4kKMZjn44qaA0C1CETqzCCjB6fbPGyWhAgVe/sX84Ojl5P/ag0xGXG2
1vpbJiXBcepjIXWCv+8SeNI+175F43pKc7tfDQUA2dUEdL790b9HrBRmxQY38FPRfOvsMwR1dod+
/oK3MKmyFYgM5aa7yIiKcsbCCXPzi0dNcHp6z1wxgimbn+jJMmxGN7LyYmMQR1geO8dS7o1nBJSd
wML09VEk2ktOKqMeh955CLBGsGQg0E1zcnablL18EoxZ8UpwNQMIuCH1P1goPFTOPw3LY942Alu1
CEfrbhh8WN+X5liOMflk4aB3AdAbEqS3eZGSY7cJyEobvP3sSUANRI6X5tzRCiwqdoSTYxJf8FQ6
MF6L6xy8pkRvmcO9tK7GmGCv7ApLKkfCMBe8ckS9R3xKHzywOFooH8OL9x3iCL2ciJwWmu4FtzEE
UND+J3vnsSNHkqXrV7m4e2+4Fou7CZWRmqnITG4cJIt0LczczNXTz2ce1QNWDdCFu59Vo5OVGeHC
zM75zy8ans9NlyIWl3ubzp+PI9pJlvqB8bSK6/PQIbrEtCD2ZfNmQzIssQWHrkHhJOahicMH5tZh
V1OiK+Vh6QseSXpyGThrhxdxX42AZXiAyWOowFYf85VQOQq9ioWVrDjIfZ0hSA6HdO1kd+MsePfe
jqUyjSx8InkctY2pA4bCtV2cLhtb0OS1vxctCfQ5LNKYCroZB/Mtywmt4HHFu738dWnYXBYGRldV
oHR3zrPAmLJicZbuWhcb/E+rH3REfcFk4C4tnBzlr2FKqCjmvKIqdQr4BxXMlNzPX8PUF/mb53g4
xiCq4YoC6Ts4EsPxDa8KXa/Va12uwrlOIL8kn7iLZENiRt8F7iH1pV8cSViFRRD2IV/AKnp2QNB6
thPyY7kIFfV0RvHmOhbalnOUbbo06koDALP9OQhiKVjGxGQQ3AeFMxakz7Dhr2+ThTn0rkvT3HlH
mdZVhw49T6T2M+J7TDUi4s+yg6WIRW//YR4Im/xvKzgxdbtHeluCVWSQ+H8rb5ehJQ0Qe8NXKMGU
wrdzPdb6zg5ay9cjImFa1qJmXw0guhXuKIfstIiVd5MAi3J+67QH4uHCBODi5g0cGVYcaQ+X/8iB
hsfFw7ZaSKU03S7chwYL6NSLyuC5nNy5Qk4Mwf9MZARF9FRmvFq2seR/UqvHA8c/LrF+0k6WHsrC
MZne7NLEOc0wVIonG4ua+U0mCwdF7vVV+H7pGssy42kwHuRAzQYkXDcijmiSLj/BTIaHDmHP4Ap1
hGPzsNjmGerBoyxts3RyBKr6KfKfF6XW6BvuYv5ECRpMY3wSBONw5OWaVvGGqUHA77A80mUiaYEi
+CqVCZ8uJGNYciUiU9lAw+zou9VQuhQcwqk021NA1hGLnYk5req6oV+ag5r/HJMgDAG3jk67MDPO
hFGAF6TOCvB02dVYiRwOjeBV2nVkHQ7IhFnof6IQgBtUu5iKCIPCIcSv2JkupryJeQLdEUI1G+G4
EtNxm0VO68PBWAOO5z1h89NqA573bv7ScRDxF2Y3LPSyC2Ccj8sVuPXA0Tg4oYFNYM23xOUESYe/
I3I3cmqMV5k7/kGAcNThZsGE66YfoNZ9J5B0Fd9LWGT+mVE3cHdBwtTssKTLwbmNpl5CsxMdfoDB
sZsJqH9zZMeTS0MyiE5JlbENwfniNqStY9qCCxDWbZgPhnW8CJZb8HgB7QfrRfViIWyYGJf+7YIR
XXz/82Qyb2ZeZbQZwvYNSEnBYGotnCP5JJHF/MvlSzuuNht7xpOp7lEdmiqP8wp8cnbo8C8HeLUd
JlPnWpUJ89Tmhgv2nsw954z+y19ykOxNeDxBOHnwWjKXf7GQ6Ml6Hen5q+5kyBs0V4UpCuQQDBSO
zdhmBunCP5btvG4tHlmTVIAPEyotp9gHktwQMIgB0ELC6+XBSsp29KZzNNhW82WqBlZLjJ6Zc2fE
GUwe427GOOPYXNoqF34/b+ZExH3pf6e2yfsJbmBCPu5h9ZaIgvWC0sE2jZbyhYwdUO994UFSInAk
a7X1sjraQI9sr+Z0cqeenHjm7cu7LYI5ua4Auzj4Nzhk9VdiM8nMS9ziJI2HaoZBx2jWHdqEDOEt
aLdNeh2KbkW24lvVVH3iHDn/yvJgbydiD8+zOilrZRtf4tFuHgevGBrscfAyusdGMxf2P/RCvpnR
/lbqxHYSM4B2YN3GjLFps/n33zpZJxHpJHNvevOsCV7UrnLbPISgZ9H8RFXOThKpUPEWFVAsql8B
PWGTwhb3paMOEJqrdCJ7tlrsK4ySE/3am+HpoyUmJ7jqFM7613arVsJu51ZQjZMmUPbrPuZZVl/S
XvDcEbOuz2tduu6nvsXk94uO6ib+6Y5t9EMjDPZquHzocJ914fCBOx/TXaFOg91J9+DBf05PUdcq
CIUsX/2M3kmKM3Ukq9LyQyqreh1DCqENpg5GnSY/vKaCOanj2lTw5QCBrST+Cmur4R9ur5Gi/e32
MkNx/ACvaCIMAQv+enuLLJLA17V6i8cwph6v2Buo+q0ZrQ9BejURL6hON6h6zlU0f80bWD73ja3o
1Vqb8eRNwRh+fPZUA9SL0StFyGVEEUUjL31D9l56a2FcvGbnuprYJzhdzR5QZjXlJlxg7Hf29ey5
S33wGIbWP2WNFVb76qGaAAa0G7OEyrIGBxR+CrRW9i5/095KiMbCC1QCC1Ozfyblb9L1riGJlh3q
ghCOlU29lNQzZmmcjll+hReuwdmZdxMTEAbMvAOacNTMoJMMHDrNS57J3h4eSZwI1+tLW1LUgv4t
LfFzerlULxVZ5gxUcuU929CzyV/+z3X+X4VofgzAx8wHaAnShBth0vXXZwNFLSPJI0HAUJW1xOJ+
KZgn499sYH/OdI57bQB/E+TXhtE/vBrgiX97NyIbyA+emBvELqJF14ykflt6dppV7QSq9qnwa+qx
MzaGEm+ua+Ldde2r20rFcV80Tx0b0+LiGDe0zbJAlscC016IXRmUl6evRcWkFis3pExkinyQdkfM
9acpEtk0euBORMu4r6XxIg6/hQ2QcvxM+ChX+hHh3S/8YRf6HPaw7S4gO65lovrO2Du23vOGw+gZ
lwYpkNpgdUB94JHQVCDUqOv8bs7FqvZY4bgeFqOuJe7nSnB8FzH87EdGKfQs5J9SL/SZZ40UtcnA
BouJNGGNB4DfieYYWiCbjXY0pWdVjFQFlzSYOcqAkNuB+fcXqkgaG/jkpsI108mrzl3NIV3YiikB
gSV+HuBYVM7kaEBBVvdFi8LoOPPgUOpvySoTcAkFVksWGSfZ1uxOSBT96xQf3OrLIENO5Xmd+Ek7
llRPWW6FvPvgmooRhAVXAblRbg7WlQLvi10iYDigv+dUXrfSDk4so7Z6qEyzvzY2f2NsHLYgkUfs
dH8eC2WWctChOWNJ4ae38HkJCnWQ9WxBkHbbDSs3LOjZa9UBrrKESsF5amYptcg5/CmvqBzGqpTr
tZdPAR4BjTPLLyVxie6VXAaHb11jxSjVIR+YpL4k2mcHRWKPXvxFE4YAG74Tgr2EJLWyPGfCMd5V
aQLV/Rr7hzLAKc00aanLwOaN4zya06M/FRPHPi+nw/J32g5fsT1GJI7/PkCmcWA+TyPlqZVr3ESI
HVm7Zw1riTZrLmgn9m2fcTMyRxOCSIxeUaP8jMKMm2Bn7qcLglMhnCML03FCQVIiI+52/XzZkLqw
VjzxQY+mnOmrls+au5jXbU7wqLh2sk7jaasmdp8mHljEfkssU7kHYYHT8xVZocFippmnC5K91l35
K4NLztODJMrYKNNgfVafmVMhR307FEesi/zkC6YA4NyVINqnh4OesEWVk5pB07ag1MtltSAc43Mj
vIAXblXU3R1ZMMv3JMbFyVBNJLBQhpqCzWW7D1WjzN+DSc3mKLdxSyBGtshMa5x2NHqQ4B1yLjhi
M+Xmmm08H6wX+rWWQihwC96FC4BD3c67G9glC4a/x7kAB4OLueSoYNGRDntFrll+ja25AQhhbYzP
mB1QdXrBENVXqusj+85VA2+jbWVTetYZRGTIwRVvyaJmlmg5t1B6cPFxmgJCuNnlYzzh+BL0iOt3
qfAXZLzbY57+HbmmizmaJS3vrJXkoi9vwkX0hkkZ6yHWwgDX9Nv8HwL1zOtUq4Duo78cYc1lJcWx
lRpU3FnML3UckTu7X7YSfUjNmD6xkDusiCn7BmVHOHL3LginTYhffB0apeITZJ08fA+7wjZI1LZq
5VyaWfA2hUKMzipvjRG63AaeWiQsC8hlAXtOgbMY9t1Rw+1ZCDie3i7ltCxXV3y/zDuNS8785trK
fCWihBjfMmXJePEQpUkygd3ccSlZbIbgyF7qbsUBM6Szfx3tUiKlCQL/e6qmBk/dvicQpglJqG3d
GMd04VyNoo9edOuvN83ouB8WiG13YnpPXHxYKOzgvVjhSKQD5+vMizOOOFZc01CU1ZWC1jYd5ilc
rpbQFMDg7+u4B4hq5b7NMoOrtbaYdoVPztguIwShJBxqUtr7XCRQiu1v8RBN5uWu3Re+V+adwwwh
ZYUHX03/1jIuwz4y9uoj4DZ2z8PaNIwTDbJgy6gPdg1H4fRAcltU7gVea/nt3Of5ER9Mecr7UNj3
Xu0wzgFBlc5BUFE9zFPReo+BXTivTUX1dHJLy/4g7zW4a9dMvhIfi/3TNM9Pi0IjsB9EaBC7TE1/
OLS8zTEFqPJxe2z1rWeP7k97qPr6iPFcj25tYvvbFU1SfnEi4TQnZQ85ANVotZiTZ5aCetgsznzU
vO7eaXTn9W7QofcolrD65LuD9RoVcY31bwq6XNObGV9SNiMcU/3ppZJ6yd91AhWD27CGz/GK0O0u
LwLrvhvDFuFzvrqod1Hf6htl+ciQutSxdsA3fXJYWcryQJM5PTYD2aE7cqCX8eBOUyCvyPytPuyw
6b4O1uRVh4yAw/prT4Y8pD/WXvqAfxJevhneWctHa63Bu+Mh4b1CB9u412CWabZvAru+sR2ER88e
2y+SssR7IxOwfIk6i6RytL4Mr/rKjfJbPU1TtW9XNSMKrIlTH8IZ58QhmcW3UGXzUfi9Ah+0lv2i
MWHblb7b0/cQfP4IQ8F2DaQ31DurnO0bZBDW9Zi50XBucMBNr9xBV19FVXjX7OjZkWmOCPdjFdCu
xUUQoh2js3+mSO8Xo6GlMzswwO5xH2z66G3O/RbCqOoxeB3IaNxhkJnezfaMBChYnAIhYZSm175U
Y/fs0QCNR0zNsv3quygrhjaOr1RActXNPKVO8sZLEHF0Jc38mOX+HF2j/hgX7hYgEKps1z6QjFu9
o0+pIk6CNr+t7TIf9mM/cmQ72kJmP6TJlUwGADYZ2AlfLhjPji7C/hu2a9NjkuUR/kBLX52xhQ/b
z8EKNWSHCgmmp1OHeXpjaQFQ43VQrVi1FNZJiULzKppHO390MUMDiJAtWVJO10+/iHIVxO+xvvYt
L7u9yzNHffR27NzQJNXv6ZJ875rS3zGIHPNTKcskOwQa2WqV5fgopiNaMyxv6gHfyjlpnvCFyd8r
XljOD4iL8CNJG4FwHD6LRKOwIwAYc0K7ado/CHsQzrFu3O4syGb/6BqsmaF5h/fUYgHDqbXKiyMo
hDfvx8iI3Ngxs9uhRje6p1G3yMZlU5GvHEVkYlo1vmRBgmnvyU7HedfglXFs3Fjer7BQngCuFTKi
wrHvyN1DIJLisHvihlf7IZuCO1qV5YQtiSxvV9Kh3/HyC2seS9n8tC1MJ46U4RU5sb2DoGxe8r0z
LrjwVF1R6FOH6cSnCtM5TKd9bz6UxVg9NIhPD3OT5KQE0IiRo53ZHcSecrkeWSLxU56rAjtY+hxc
jIc8y8klg7+S75cBldoxhZV/JBx+BNw1pty7EBF3fAxaX+4n6MfnBMlFsyvThkFcEAxXkpMJOMiq
v1LzP8cTlgvX+B7h6OoHg/UZMW//NpUhsm30HPanSnmmFKOUaq+KqAE2asf4i+6aUdzomFdt3zEA
WyBfRszr17QaikObhfaXprfimxVGenOMUc49ZzaevWeYUAKyuBXAZrNr/O9SeWfnWfoTrX1mYo8n
yV7HbPo0oHE1oCRJu7qeeYmSGcfoQA3ZQWRJ+DK4Mn3SRTt3e096S3IiWLH4oPQjRMH2hvRudZbG
uYFDHT2Y2Q9voFVhWtpZ9q++IheNHdrJH2VOGXpuo6j+0eCS+8vS0zDcBYXf3sFbmK/BEMvPC5rg
6jg2UYw5Be/bzkX28sMpOoCkqfTt2zmCr/bqSkFobQ9ele+oUxu8RZHZgXFKOcpTWxWxex8k1MHv
6OADCj0mxOHLCjXjBcZ05hGzkCzvzlB032Oh2e/Tum71J5FzKkgvaMS5zeZE75wKIwhmuh02gRrJ
X3OQpDPiUl7TvRF8EScPsWCBfwkpCBiyyGY+dNk4natmsSsMawmlM3ntM4rVaM4/oykG0R/jrI3R
HsKZFydrEuynCQl4h87NLbzoI08cvTku+mMUI6n/qQehcQQb45DRA7LEHQ1fpR/wmWvbA1wq9466
1D21Q7RmSKU71ifATP4LMfTgolaMpYP2qK1++O5kHESwuMj3Q4zyFj8yPVAdhu18dFvfhJZQWeBc
q0R+BmwXBT3bwlQ9Qurq7pkXJUe2hnR+HJSIg5t57fKr0U2GVx0EI+mtAQP1hyDkDO6iqjqKJA4O
ESUrn+cazWujvPA6yyBeoosvxu5uwtkkg+mflOqcMMKH0e8t6naxskXeeD1UvfsKLXj5SmRCfDei
dM/O6DictWYPmpt+nwNNTrf+bEHMQH7dPKzQmtUzkyOVvCpSSKkypPdMAkaMP72eszW+HXCZ9XbS
i3v3SzTGmvwZbETXI47dsbyJDRt9iF2ALsu1osey6ZU4jyg/3L1L9lGxI+TGxVK+il9GT0+fBKXQ
fIUMpkKCWLviJhin6gWw0plv8tC8Lqv2RmahAN4Q8+wDTStT7z+qJUF4hLoDo2rXX917vzRq9+yC
TvwvrfoflEFeRDjObzDS/1AGfeiKnLJ/U6qX3wnVf/7uvwnVro/sx/MwVgrgS28Svn+Lg0zO3J+E
6tDkzCEfosN0SI5jWvXfhGrAwr8Rpv8Tgdrhb/4OPYaxy/SLT48hKhmQ92/QY+zm/gIY5BHq7Rgh
yMZhsWVCjeUnXdJhlzPZBE8mUqRfcYsVTNoLcLmrQMzGvAVZivVP0rXtQ3+DmyOWGdfqRvD0YgBR
x2Byv2FeKf4imUs85ZdSIJCuvPJYbC97b1dOd5pLv30LzUJAQCNu1LY6MGvvc4ZTufM9H+b0C06v
4dkhle5l7BCcHaptqaU6dU6TU9LVisj+3DMn3rEhsTT1kuThbp3TERDWrFuYSAV+2C56WSgR2eDv
2eGS+6LriwhYBkvNfSQ8f/5ZzHOCAQSKc7fp11fuh3VW2x7RFDg57aUIxI86jSTS/aiqyegSSRXv
EyDf6bafGK3vDN79hCFjmD1aUtXpO7zgMTu7fhHflTiFYw9fxjp59Lddq8inSd4UZjNLt30Nx072
uHnb78CHVXeX+ZFcDk02htdibK1dNJFCuDMdfr6XZufMgTSORBx1ULVnLR+oKthko3YeXnF6IMSk
B6u+Id+TDXk0e7O9yuIZVZ3D1MMZR/fYR1h87tekICPisrNvu3y7AmMSPRa1r6GRKB/jMXHvlTkS
aswT8n2wnRQzFN0f4E0pqm/gjQdMfUNoE5djBdcfA9mIezmSOb5fF2uhFAUZ4SDq3TtrO50Y1euH
NUIXfiA+uYZkvR1gHqm7w15Ow/QwmsMtiHzCEIZY1NneZ5C77MAAcd9msCjY281RyIRYkP9tDkiT
FntY24DylclcclshoyWsx/cwQVGlFed/gBRyzIbmxG23w3feDuJ6O5R7cz4Dvk1E+VqTf5SyDNq3
JZrtnTIH+nw527dzftzOfMxMOf/drRbotrpgsuJwOOeYkj8mVQUYyvhyfEPFo9Uh2QoKEKfue2mq
DOLXKDjy2foC4uDfxVspwj2jLOnlpJd9wlvd3FquXw9XsQ10TUdgyhhrK2kWB5WOiW+zfoit3vG2
2gcNhPjiMTH4Gvd2gE0UfiXtPoL7fO9u1RIPxflRuOQA7iZTTqnC1oS8GvehHhfHM86f8zUuX1Rf
CeQuROOj99Y21Jg7V+vmV2cKNSy3NQbslso06quseMTmnHpuMqUd1tPtTRjzepC+lzOtZXx9hHIR
pdepWMi1NaUhvLTooPGvf7ZM0ehv9SMcNmpJprD9bZD683drqzWZ0VJ3Fkydbp12ZRBtytIoVPMR
45R82AVWFX+CQiVvy62CrZg9s64pa4UpcBFXBzeJKXpjporHlVy18FThGflsb6Vxa6rkztTLIrVv
BSNb43gDKWuX6ULdizaw833icPxOjCL3bSwjIsEtntZhKBTIzGDKcUG2Hc9SNEQmbfV6Pk/BoWkZ
9x5z6TQ+oSFBe5rl+rk29T19AJU+9Hh2B3y6KlijXoyozvWfU9MZMM1fTuSavJOrHuy9IrTf6DTr
t0L58dVsuorQ9BfR1mp0W9uRrQS4Q7+pnCNecOo4+cC/uz4cUblzp910v/ae/SPr4QDcrySVh3u3
cgagfTxpBHiFu8e7OSRJYet3pq33SfRoHbDFsG+nrLWeYdLjwkWZKQ+ZYIzO90UOsRYL6MmqCeFt
Iv9uGexQoR/wsw98pENcstZs3rtL1S2nMEFjc4RNTx8DFb37AK1uCGafixGjj9wyokWgynHMSlo7
q8eSegSJzJLBP03IKE5RUyzvTRoIcoJq/6erJwaaWpW3Pgk8hkko/J99OWKcX1j6ql7K6OjVk04P
qB3GH70vxA0Wc/nnjsKZbJypqp19ypRIXWPBR4oZ/TgxzqBKVMtCTbih5YwzniAGuD+gKcaYPLhP
pV8W7wyk3ZJRZQdFYmuRh8Rt/pDOqOiX1uqNjHEKeIaG4bNtuutYNsMNEQq0v4NK8nvUWfl7zKz/
C5v2VN7iZEd7HkxBwMIxXbsjAvr3rZWft7Z+0pa302n4Hdi93iHvih+ccHXAlgr9AboMLqCbwFiW
G7SAG5XDQMpXyVBwAxSiekAAqCK0hYclwLp5lycr/TrpPYhLkzx5E8IQsmilbLGTdogYsLPa8DF1
LfVDehHeH5A7h098KHAGwz6//ewblCNQC4AHMqPp0XGYMuNm0iXkAlpenxDzDDrS2tj8OxPhKiqR
VXTAMj5Jrmo4pHeTAVZ4LcBYYgO3MGtO1t3orfkPF6O/UzOPAEXNhtKgJSvwYKroyzH5A8JxNjRn
2ZAdGXc1UUF52NPIgY0jWy1xP8PmR7zYBgzyqm9JUmGHHOLVSz6C8G5yqiuyELJklDsCB0R2cHwB
kNJ1Jg6h1fVB1eP6tBjIKewmnvgU62WFMRumh8UgU5gTRW9OVJZgmnBlgdDdFuR+IKVixjNxbwW+
/gngpvV9AAxDAqjBugYg090aDCCypNABh9UGGSuCwL3mday+yj6zoXNObfM1QsRj44dVNgVGU7k4
0m/WtyWh1zcLpHki/SZ9XWwg3GrwuDGTCHGJATHns0HsigrXHmd14juHbfORuMAuPve4yN+DT88v
bgKNdq9ta34Y80rKq7HSK+OZoToTVm7hcT1M5csMeBi5TXuy7dl9sL1BnXlJhbzCHo/AHR9pFMKl
3iEHhJXP6RnpQ2hj+4G7RiS/uxs8yXkevsN2ArScNwCzRuWEKmrEYRxTpmz43PTcGYbgKI2PNVGJ
LidYT7w31U10vSZ99IGMDfcug41OKq4+vA0wLUyIJV/UAKkkJ2csU6ydN4gVyUGXHHynBXrNcV69
xbzepOhOSJ+lTKJ638wBiNzQUBrtCgPfwnWm82W8qIC3pBU+jxvKm5YBtoY2xE/cszDZT3eM7aOQ
ZA7St2gKVxuzkwbAuCsy67VYxupTvIzeY4kZ4R1+f4DMeQEP/ag28LnSWK3tgsUaf9ho4e7dDaRm
B6u+RAjKFszGlfD2dl4LIO02XM9Cw3IIDdidhkFDStWqhms1lzbTe8pD+zin5FYcjI0+p3k/9vcD
O/ytLhLDJMqS+akSff5QAuE9rfHgUU1rBAsQhj7qDX6vmTu8gueFtz2+T+LgMB+g6CpLeazaGqS+
IKnuQNBnW+6wYsdqrGYI5ZxWgmJfwlXOJ8J8VXXdqQzS5Jpdr71L8szE3Bn7qTGqzrE/CU6EMWBs
sIaD/BJajo2FkJkrRPM0ATKzwwXsPm59Qj3ntXtfl61/gojjhNconrtjYjeFhytg3LovRcMEVXTt
eCovU4zax8vF+5xvA45yG3Z02+DDk0P+hj0Zb0g59x3b3DYhWcbCaQ4JWP1VXlXOdFgH1yNBp1QY
AU7bhMVR8TtZc+5XVhfzl8iMYshr5uxnMpr1p3kuiq8oJ7urJstxSzJTnDSenSsmm4x25lKFp97M
eywz+RFmBjRt46Cw7zRBqBnB1HcT3ugYQl0mR+tljlRepkpjvtLexExN7HsnH2ziOsBWoRE1uiB3
IyVzAdTCJm1PNKqeTxALmVi5ymcGbVeM9n96PsSVqzhq+d0LYTCMcfG/zqB0GikSSBljyjo3Ys+q
b+kTncWuHyZtly/DshTzafFlPp6afFxckCiT4jHKuf0keweSSwtt54fjqBw3QThAwXcmHtC5yJId
mJ64c9+++g1eAGeciAl/6TE8wBsWPkt3faHW9mFqwhCcqv/AacB+Ut1UxIQ99Ezh+q2rTaMm9l6j
LIQL37d+Hb3JsNSoP2WTpdiwJZQIJNakRdOsUr+40GhNfzKGHNw4omLoWd40btiED4oapkYt5zKM
JltmgQBVnmlpy49gkKumoA2RvV20L/8LtvwD2OKjtv7PGnbdfhu1+h1k+fN3/m0gjgGLE+ImHUcG
O4kjZEz/Bllc+1/Is8AZnMCJWTZADX9iLrH3L3LkydKO0G7Z1Gzuf2MugfMv+DghVg7ozWxwm/8v
ETv5pH8FYcA5Ih9xHWIj42+OLvSveEcpOqwvs8p7IXaabvwEzxZqw62D5NEKjqS5dcMHJc6if0Ip
dJpbB3JDaB87ouKptfATGdAB9EKW85OPJCESpzSpYyvi/HFD1uhYRVlVnacGyQSZhmEHfYAKvJqf
9IAT7ovHAGd+ijj/MXGCsIHhRJ3nqYIHgKcWjPLRUMW8Yi3pPZCyVfcK0Ntj3/cFlE1coogCMKUG
k6oOenjRrJ+x4lzdXxZkJOZQEaM/z4ZsFsO3cxDczChorMRcikpr24AAZSBKCgNqeWgVdubon45M
Sv6J/bLwibjpvQY3xCQQWl4z5C9H0NKeUv9WdLkzk13libx6bqlHDYeWOrtOj72luYoVGX1zG0VN
Ez1MhHSuVyEJuXI85QyEu3dmwc5EqyQd0T22iBStlz/Jcboc2+6xwnxgOIVVCKdHqj7gStswS+ob
qGer9a3Flplb0euS+2Itopmf+iDqu8fCaT1uR70gcch3tu/Vi7gKC1KvPoWYXfR/wD3je+WuUMV7
oxblhzsddR7jHjljNTLJhfuINbDNrL8SfIe+D9ldcyjd4qNIbZ5l3IiQrRtVRpTwa4ylH/MgxdCk
6WueouDdIKu2DPX0lo5tKX65behzsf2cuTI8LUsUUNhWOCz/WDsop/ilYrdJxiFntflNZww5HDMm
u/OTBQ0BXkmbxgQCXn6kOwBB5IakQRV7d8TYEnbArKCfSBB+3py2dHieuFdzV5JhxNEYyjOpb3B3
0bTNT6nA/lvutVuY5w5lDbPCs4NXMC8IOqiR//4ihvzziXQxYQLz3kdswf9gLeAt+aNG3BGqIyV/
DpkLvjUE652kbGCNGKOZ4SOVs3mD58CFWYM/m3JcTr2iZSBkrzH3dGozrlBC5QgD3uMUcZrFkswJ
mCgmnX9vYYc218SfdfnXRGYxXnsqW5a4/mSTszJ8uAJC0IS5HUoDYjOFqNbPQ4+nw5Mz+NXwEWc5
P/GQC5qvgdRe6dMA1BM3+65tfZQ7qgp1ucPyV+kbKlO3v24DJdOPHGDTYew/FMW7o4EBjwrrMucW
gcAi92KKw/a7BMT1P4hcr8MDt66uj8S48UejIOz0zTSmETmBGgXFVaKMOeAsSuQOwE6Rh5PuaZJ2
3issjejr1RFqQHeqcD63myt/CHBpszV50qVti5rQVjaYnQfOAR0ZrTOTw0HEn+sC6MYe1GhTLSgi
lZygDA5iXlSDMnUU5R4rui/QE7ov8QLWsjpSP6K5qNEt6Li/Cpku0zCFHZ9G1Fr6kKGM/Kbn2KL1
joKvUNnEfRETP7OLO0eTNWsTZrw++TYe6Im6dfKgRLhxUXEsdjSo98SXsXfXSpBFeRQ6D9VDisSv
cJ6US4+K82/le1ZzLFWbhOLklICTwa6NOpd9qJhLwX7VuOQ3QfTYHmRg9uaflUt+Ltk2zeBYMNJ0
3p5/GxR8uqDc/6fV5LMWrRr+3//dwO3fwG+0wpipcFpFuHMkdvR3U78xHQk7Hf3yZW3IKzvLTmF7
hAllw15YbOSzpWJbI5mgyRT7NdsphRleRoYlxUyRMm4nYfVBkFVunj2mkDFoIWlGG/sTmW7sJsUk
R30M1nZJl3+QxXGU/j5PYMtC0UcQhxOTpJD8D0kNgrBkBXCo3+YEc6GUsDSozyOtoRtk7otbS7i0
/8DQNafj7zeMXdK2+UwPpTof+PcoGr8PQtiMsnjTIMUrzqohseOMvmBPwxsnp20KQQyKZP38D0/q
7wLvGKMiVIxcLFeLFU1izvXf5hQ14bZ6DAf16selXk54BlfFOzEFOoQSRwZR+5FPVmQoJnLF0j4u
RtYeo+oJjbRAWQgwxBGP2ztSy/ROEOw3vU4pZo56rxZCHT5Cd+JXYMXY1j5f207gr52W7qGyZofw
w3CKuievjxbvISG3AaoDzBuL0CN/wCb7W6NVhAVZxBiZJNlobT6VEBFamACNN/EVW5JF5Z7qiB1w
ZymPvWV2sY6+Cx2rZ+eZG34SMnRgg+5VjrsU/szRMyrNJv8VloynH/q2nUnDzEASKkyY7QxblZvR
toLOcH+r7jP+C/wRbPXb7vMcscKf6rggP9oVMdeHMIVNyWpwW0FHar6N9MgE4DokDu4k+gFOrL8K
INWaqqBtdXtuVz7/MLjwhMeD7yd9AFUAslZUHUnzks7tithanDRkcH3MkC22T5jMh+MxR3g8sj1R
0hAX6qn0Q2ee4rMuH2w3jtA3btVynY3rrZ7YQ23jR0MhkO3t5ih1y3vbk9q5b12Fq90OvQmfwakz
tecoALjeN7nOgqeJ9d09QT3hqurSm/7IaJzjbzmWXdZLlAkBv32YA3UnWkQbL0OjcxviHrJeEtLz
KiQpuDXNHSGdSZQ9BMU8iV1H4rl+wF5r7BbE2m3N/czmSEMGyvk0Doa5varwW9M3Hk0m85ZFOFYF
qBnyNUo2SL/eQzUzjzQlXeyOvK6hBbSxoGRZ+wKAxj34OgYXVoKk3HM5JnP03NVriwl9iIQr/5Wj
Rp+fwC0EdLT/vJj+TrPHwZSXgFIbun0SYCrw16VENTeP/0XZme3GkTRL+okSyH25rSouxUUUKZGi
+iYhtqTcMyL35enn88oC5m9qQGGAOcOj02RVLhEe7ubmZiMV2OM4095HOD2kNwMc6KG1qnRbZc8Z
dNbgIklkKvj/+7sJuaaLXiYJePC+B0o2DVsrW8NHP+qm6CbDVqF7TIbIfZ6QiHFe9WJg57Y0MPV3
H3+zaGT9J3ZhOIMIowm7jfkCOL/v2q9kfY3DeRY8dmOENRrD7S39QLPwypesW6A1WAYmIhmM/HY3
9qH5Zg60EmmHQkS7tCrGRQ658qfievvf7Vw7yy0cgtz+hnKtbe7rINPtXX8aFp8QHYi/18swFtdz
QXMQcDuep0M2GUO47jxb++mNDSZd3ijaG84vsG7NQF9v4swAo4Zr2IT+bNwOwsPHj+J9FEdDBakR
Dy0xFJQxpHhXA6WBmrtO+/5jSc81QY5uQHWa5pad4jKyo0ustHlwe0urbx9/8R8TFpZNAHcRDfGo
AiEOypTo/0Rx+tgjgdxvvihvxJL5gGHAGi1X9dK0uKW4WRcWt1RljakPekC4iASxAg5a6aeuku0V
sRlTa318Vc77mSCuygs8C7dmlCcc03q3IVw7W7J1tKYvTS1sPZW2AG8Xdmu46pFpS8KXaRhpDsGx
nBx9zJeSne878Rp9rl1Uk0QES8JQ5qS6+eSuJiryprZOSAfpPud/q0KaApdMSZfpb3Ns2+aTpDvx
9zwq04nCi/k3kG4n92d9T0N7beZd3QxjjtefVZnWC6pMXvtmmXXe3abUCeo5gG+vjoHVLcH3xpu6
/gikRORH5dN0lr+smD9CBhxe+BBoc6CLE4bmu/fW9/MS24iAPyaBBwtwTgfb/5YWi5HdUZBU856p
JL+45ZQc0+PHb+ePxUrNT58AoVaWDpM577YtBh29YZIQPAKWldQNW9qfKtoj34dMUbzBujAYaPz4
a98pDrAxwDBCG6QNqRULPsh/V2oxDRS01Wo8zcYqS7QKEBm1r9sK8DPYY7qBINRhWV35gfqoQ+mG
SQ5g1F8Wp/X+/i34L9h6ugRLmofIIPz3QmarqTkhJ/WFkQPNSZj1qU4xf3R50Z8N5j7biL514Sgw
4pr3r+mdk+dolnRg7RnMgx1IO6IMqjtzmSF3q8afsbacQjdXX/th8vhtM4lq1vfHj/D9orEQa5IZ
TRvlQMSphcbzv5s9HIbB9EedPC2FlgmOMDUFwWgwvYyAUspVtOfasEgBUUblUrR9/P0yrvWfZJVF
A2YEEMUgJy/y3cpZ+jxra/7gcT2JcTo060EN1nWtbqfWAYtxjVBKVV9hcXnvIcjLu4TvQY358YUE
f15JBNPVhcxMzOMMevckFp31FkT2+KkcsnhOv85Ra1coCVRU9PbqSvG8ZutqoNINQG9AGEZsrD8u
aw2wgDGzzDMjSVHd0uMbWWIbMHT+y6FJUDTa+WVGjbRLEDJExO00l2KQpaObtjQ1zg5vDExA9rz0
kiVdX2jtY0KzgS7boFdgZYKdQNDtA8wZYganLnJib+BfOAmjXckOdQDeGYUPn8pv2qfnySAL8zrY
3aI4NwO18C5bmqj8d7dG3SKhFSJKgxEkYMjIZFzNG70Y9M7oJ6QgYZPnygAzz4ICnqkCWROoWi7h
3drXo2KEaRKxLiTo1grAJWXM3EcjzhGhVtpd/AO3EtCiVNgw401kxeiwXMcoPFG2ZRVzrZfckYjY
MfW2pEzpFLqYvmZeyuhKYQJd3MbzGHK9KnFVmf2MskFR1rki/QpigN0fSyRFSoelO/VuACRFv1jA
QDiPgkYNwTwSIOjNtJSIBsRubgHTkHWA86lk8gtBDcVhN7ml/Ph4bQlT7b+rXI4shxABnokj4vuS
bMmRtkMVsH2ikSbBqM/AL4w32iLG9E/stHlGY7V1WfqMvCd4wpSU2xfRFjNdKE/cgsOsp3oIFyXP
IbHhMyJKvEY2feXKRIouuBX4QkSgQjxm2cIwaVDQsDSs/2Xv513aopg7LdN8CxelgZvQR+BQt+zO
TvMKG2aJr4JizASdiGEp5PvU6A39uUrNsXnOUqrYr0tXrGji1Iw8CLaaF9N6qE6Td3NNXYkaEZV2
410xuCIhWPfzivAZ2aaAmjNo4PSlxFn3b1HEen8SMMrP0CEDqfDkHGiB77KDKTD7vINa+hgOJDU/
B9Q88unCzZiwYSBkZWxx75FMmfPBqvXagdcFoF07w6B1DpvVQiMKTr090P8p7jLalMMvI15lzyP6
mXT+JRZQgjGgbT+OCpZH1sTDJYJPXrtef7xY3ovM4ZsJwA9sYAt4IMnff0MycQOtkiHMMKCzDNSK
UChhmC0oYhkod8KZQf4LL+DR0xeeIqbFd7jfOfk/Rqvi1bywHQsqzqVHO5m7Pslx/oB5rflHarei
QvOX67XfYxw2lwm04dFUoEPwx+om2aOlQNCjp9sn4KyHoaKD/zj6KxnybEaJiB/0BeDtQg+B6/Ah
FHSQ4ZFPfjRMbKfvkbtYsU9MbYZfwQujSc+/AMVWWP4okTtQ0pOlAkY1ERydH3174WRYkopPieAK
DPCrtc+w1hJnNTMgbo5ewje1Fnl1l2JVsmJe5ziCuFcdZAtSPcrjdK+NOCInIfRKUN1GDU0WEjGu
HwLkT1TWjsYl0uPEwMzBWgRHaFUQKHbM7qXAYwKGSHSpZlkcQ2YW4zVy6HHU3CHzNNU/io4+Bx7i
bUqzInImuQayBQvUf4P2AStAq/DgGwSc5aXKazrlTRWELz50qcYTtIsuXmdct0PRzi9mm+eK1ac8
A93sxpe7gJS1cmHnyDi5Cc/J7hEHSxk3VAGxHNVvOZdmdwC386ZKNmiAJg8/CiUiJjtmoeAzSZzn
zNvOv8RN5LZzxgfzO9NKMAQ7ehZa9emV71AFfJ4LH1uqQznapyNicGSnN26mWaUy1FVcD5Ft4MAR
n1oBcMPJCSlbAHStNSaj2fX+6lfGdUA/YzjCTw+GBUUMbfgIq8e1+ZPyPDWbz07VsgCyBX3xAGPL
ZdbPVRaXA4JXHts1Tpmfwbto0gDXWYif3HowGJbgmSCpy8O7pqfLEtx+geNY8Ok4tHuBz71CSDoV
6snLEdmSVP1oENJDTk01Wce5gcKnjBVHWR601qc8sOTNnFVehpxefn3IbbhG3+OS+ZJuN9F25Ufp
V5JT6XymWbFo3K+PkTWPxhVkjFn/JQf/o26zadl5UJc5YUD9/tiGqpsxeS5jXvvpSZlDx7eiCjVb
b7XlNfH9Yg5Gt087a7HfUhAM65pBmWCg2b7Y4V8whFM99r+JHWmlx4FHVIaPxgjfu2rEZS49zVGH
eJJpQRKOzh4CqkJOZ0XrbUtnVgQYakaC9OI8hWCvZXcIvUUWkGW4OY/fyJuKJRths8Jy+jhuvc/3
bBupbIFZOJf/H0xvu/LLriLeP+aWmU0vWMIhRdRZvmSbWVLm8WvqRfZwH5+6Ul2laWHVLn6M5V+y
g+B9aWvbDq6I9qmyldD/7lHpSYR0fKd+xAKmXz8vtBNEwW+ApPwaZoUarhDpGhcL7QJXTv2s9TGD
MZnBSI6I+/vTdbUmOFBxwuXRZXBqzJFsW9HBz1v/orFHg2nYqUzpCkJSLYODbeJM84+D1NNyFUZ1
0tS7wCqb8WfSaxnzTgkD1a8SlZBSIELmtZkAXx0bOkzTtLNznXhoCTGzVLf+J8SZSeAycJ2RwfV+
LP6Byg5qOAANhDBSC4nyqYG3ZGuEa/x9PEm10MxEvikGyEAZjHkuDWsyMPFqGzUSEr1rGfO/bRkv
w0GHbevtOyOO/cvSisFenLRLihutOXcOGyyUmBnfknkLOgiMCgMUzfl4yvHMErmOUYM1XYctZtTH
ODIX+6pRARddeDNpKa0skKFq9SLSeZRC3Wufccv8ZnYxAcUsuKEhRgxi9ba0ptq7akWE61DWVTt+
CVEjq5e/1LXvpxBIATixGW0A/uH8/6OUZw6TI7J1u8d8sPjCjvG6+NINkFFG2y01edBRHXO1aSaP
1QQENdNdB/7S4cSYIY2T6jLrnj/eMO+LXBvpe1d0/SI6Mg4Sp//NS2aG08Mygbk3GLHrFnvOHSGj
2OWYQK023aZrH+2g8vrXj7/XMv/85pDaFGYSZSr6H++L1MbAwKE2zeHRnI0cbb16K0GG1CDCuWkv
weHcVq4gm3EaAueT2q+zxnP3MPgtSln7MIeK98UFDTIPekqM4RttMrst9mhZpyvGJ6wF6yVCd6T+
3kxYnzx4nCmkhVUf9ahOe9gkJRf1gnbfHsr55OEtVZQIQ+3MKZK1RvOCwbEIhK68NN02cS6qNTZg
Qq11l3wCaQqty9TxaX/6QPgoFmTOKXsI3dnS+8ac++wTOLrUK1ttuDXq7aoq1xcgU2k9d5rJ0/Wg
nExqJ76Djvm42tLvVRydnPY90lr5cuSgkGuycKNkY7QdKxZNAjmcKLhFNjNHIFE9mFDTSM/m0/MC
w5C2M5G3klKoULPnXth6co3uczC6kkXHioIjQfc8qNZbPJpjyj7y5Nz8JnaaTYIp4yo5RxJRJI83
nHyNf90tus3x+j19SWng+ZQezGjNsp/sQp8EvHKtTiH+sT1Ho1/k2JymRsSxtma5BTuUtqSRoKfS
7SPy47k71nXVG68cEXbYU/H6jET38DdIJjaoYitwpnPTfaNopAvTJgETED4Vb+DT0GWmdImcZrmP
A8yLg+MgBoqXTHd7+c3g+mN2z6gkCuchAiTFla4CSFS7gNYCgmLhKAnGkkX++okhOSqsUo2aj8fY
SH/5eB/4f5wTHsZB4CQ0FClywvdqvyQzHrZy7vA5cBSPGW4mPnO36sRPWZyaALjRV5gmlkwqVFyh
Jmky7cNi63K+Ivda+3VvLqYxfgbmALLY0AW7XfgLDoXV/eFjekwrLqJrwqPpUJmrcMo8AQArDWVZ
nFbI6g3LlAPTKRr0NGp0t2H7YjIKnLxjRqSd7iNsiZLvHq2bwESU2TWZw1w9m22JMIjRH+mDIb95
ybC8gMbjqj3WdaJPlXkIhQKBgmmQut7AG6DA0dMGEnFPnJsmLkSCDeQftY6mT00+IMgxDsI2diuW
U4wwh2tsk0J0y5bAUnjotp6XIHtr2svtuK2F807YmDc2ImyUFhzG68swNXJRnpmgUVojXGcOwpCm
M0RkYYYCF1KX6gpzw5FuvvWXga/3mJwdAGViq+EgfIDAw/v33PdLudiraT0EatEIglkTChmb+Mgw
g47fpCf5HkVPSN1+vMb+PHnQxOH/EWoBwUAGJRT/D/hP3opd+TR0j3BndPzmamUk/ziOP48XCtH1
9RIX+nz4d26MFZtghCheUD0jommMDpAOw+ooTf9yGv7xOFxUpiz0KGn+R7ikvIMIh76dcevp58cm
KOAFQ+u2aeCbbdalCs9Ug7U4Joi+fvFTK9B/q27l0/+Tx7qCpqNczmls/dnAV+bqMmTV6Me6Qqxx
geiDgQZDWA7EoJ9K9U6DDTgituGXNaulNVOOnfzoLZjWDNdNkLK+ffySGAh/d1FAHaFPT4j/AVf6
g1UwLFmKm+664qoY9XZyLFaD+vaGTHYwcoC+weW8K3Hw48e5MJpnpHan3dA4DrvOx+maQzNDg4p1
3s+2gAoOvhX8AaHNJYKPti3FaDb6M3VVxgCUFxyFSUxMVnGC/vI4dm7UHBwosorRjqy1ieFTP8lH
wmCa+DP6/FGOeWgVyBforJAPyWMLHLn20Xvydp27dg04hZdDzvdJNQkwzQJn760yutIPjhTkDScJ
RNs4a77pYpVr7Nc5Q6fJRAueutkxwp4vq/uKfAC8b2G6H8NnhNouK/wWzeR6qCrVZ1/8rC60dVEP
TlogY9mjDYg3r5n2Rb7rFPOBX7CW0LDrnJDm11MWT5VrHkorX6D0Zi7a+Jhza6X4YLOBqJNeOpUB
sfbSU15c2ldOM4uyAMx4MdFA+gBtI9yuxP/B71U2P2vL4LR/2uQ61yJCf2io+Zv0aY0sBQKy6mUy
7jpYXQh/rhHH3PRtLqqqKi5wpJE3GOFPz3f0yFs2X/HDiEPKqRk63nUANaz8YVWcmxzioKZIq/Jt
/kuZxJhyw0cToABZr2FSt5g0YGaClY4cgHTMCSuoUivUwgG05Xb7kT5nsg+XaEA/Km/wd2XqUI3O
/CtOdMDIKJMTKDQihQ+lmLmBU7qxfR6dfgFfuewJ2SAAHC5lsTB/rg5NsK5cvkoM+dHFncmPTRw8
H5SVQ8DIq5WBHHIVlECHuvbT3x6wbfPcppDFkXQ4WfN0sPgKH/5jEBfFHkcN8e5Y/OX0iGoG9XyI
9HLCRc4sKtrzSfqy8eyBf6BwQtfcanhBNx36v/lvzNnzQbLndMQ/pu/xADrmTkbgjQpIfW8IqSQK
5XAaGdXlvA4GxP/N1Gh1PLKDXROyWx6K3BjlJhnN82/apEYsy7RquaY8bsS8A6JRKjAeOXx8WY4x
j44G1drjso5VD88b9zvgdyejA2Re1FYm8k5myjTda9N7OrhzjHRq6qs5sycvvNYoNbXdkYrQR6sr
6Jo2RuG58FYPohnWsuNTwsQ7T1iXPSXEkNt8YdEPIkUWovHC8nP6gqXm+o4ou+aw0dCR7SP5B5yb
hQtLQBy9V+zMjHG8Q36VNRuSCXFP24uteCjNG2OlTv88okxqPkMvDMvvPvXr8uhhBOM/J7ktd99l
uei6LfhR3ykd5xFqBWYrbySwC/S3ZDhAlnjXp5V1x/Bi7Fn7oLMa1lk70n5/a4154IM4oVBMjXJm
ja6T00rvzSTjT+2iZ8/x9mXRVn7LOrXRiuYOu7Wpi/y1wGt+ft6KqNqBA/263d9QJbKt0NxBSauk
hciHzemKMq3JOAzdmgwVenXB3ECe48k+ofC2y+APEK68hhk4fbALkL0fTTBn47+hYyb1j61hsmXx
DslX9x1RS3L50QMtu98ItmTZUfuUrl7W/kQOkhSkqBhxfpydxk57uu62k34tXc5VF+H2eEFIKPLQ
byOwa4a4f53XVTO7Jy18VbJSzitT5/D2mK6qGc1QFzjuzcm30fdEZBVFOrTZ7GpMiW9+aUnE9Jnn
Cetr9O2SHmUdZHpZgVaOJfsb3OVsGu8STAxZjoay6/x3MzJehi8yakQ9fuYhOKW6hSxMGqBTs4RW
pTXe8d0u6Wwi3wKRmC+uWq/i12khy7lgGDUnQYOQE7Bj2xclWZ2OMtK9CQIfBNGYabMXr6d9/WC4
K+0r5ivB9yYjIl9dR6wYHjYatkueybkQhdg90HsrehOFZmeGOXq5jEME/GlWsCrJMDuYO4dwrWV/
cTZ2ZvgjycF+8ssKwfMpvMPGxYu+qomZZgxGeq9+GTmC0qtpgAOCYiSGE+t3xnATde/4dVa+ZXll
Wf+axN1xumGib267vaXT0r83Upf1djwXbfXQnlLUU1aZu0WpGO2TVLqPVuTVb7sAgVjzbigjtbwx
n9Kmn6LCj4c3J6iQzr0IodUxWm/SgRF5qdls0j3j7BGFaB4TNfoDbVMOpOvZGbBQ3KGhZCDRCgm3
GA4DjvMsaWaJVEfnzOo0foe6dAN97zHqHT2H6RD5vwESMH3YATVIYTMGinzdLRuBlsPVRbUOsTyp
+Ri3OvUXC2xW7P25xPJiQ/ih0Lx5Lzk6ocMve+Ozj2UmJd3ihvJJdJna9g67s0XfZvm0pHd1w7D/
PR0MNTwksPv6o3UCMRdnzanWYLjKRoPNxwfHo8lxgue1Ef5svCzxf3SzA5jTMYGrHqJpAlCnbyVI
Ge046J1IMkLUPjPrQXqFc7zJRUZIPegZhWlOxmLXlLq3+b0hssq7c89KRxPrv0RTRTKjU9+iCWNB
yYOklUduDWFH7tGfqPH8F5f/m5t2wqFlAo0Vu1UUK9NAIM0zdgbVba8iC6zxBCky+yhF+TLPtfzg
dsGZxhwW28HLQ9Z6iFOb3Pss/Y8BKjilOU4dcr5CjaOEX+ER0k4992VbOxCadhnZE7kybGGp2CLd
E3w0JHSGG4xY8GrNYHj3XVJMGPQ+0nCHodPg6OdX5GMJxAP0VNZxr7E3tfaLY9pdX143Jzi7pd6a
XvOhWS/WKoRdW1RR6f9LSYD/rF+YhLnQBCR4AXtAHAdFwLwPbipG2+3ygkRFSjrkkKrbc+eAQVec
Z/e0bMxwPNZOijnCoR5SRrd3fUPsepyKk5Y84pLdd75qdD9Vi9buw3ia2QCrgxNAVq6Aab1eVtuo
IDJdKR9/uJcSBiHL38pg/9YHBU2FnNJvcIoN8BxqRKET3RrX9u+80eJwOcLkYENcmaR8kvcaQ5Y/
OphGkOKeuxto28geaf2o5hH1y6jVuhOHVdX8M66gdJf1EBq8zY48wPHvXPijBCAq0IQ3vc7dROf9
jHBXU20Yy62BUERYHHXks3Vcqw2yi5ahihz/EoeZxI5GUhmQSE/O5HSv1HCVgeAxrbHZvOcGabXt
hjBguGy/la4Y8SqGLDwMIngekcFJ+rZiH8j1ZuC87CyPEMq/6qiRdXIWPU+Z+QoGZlHYp9meeQ2M
GbgzKuArxp5JKIjVaVtddK6Bvd5VkPmZg5xiDEzJUP6pGT8F0lBHhMJTXDZMBj97mFG0Xt7AYqna
c6MQRvYJDygtxeokN5BOU83oz21jlkV91ZtZMh7UaY6HToXufpmigPTGBiVAbK3AALUM9RAUi8B9
p0/bRheqkVrmvt0+cy0HNhKqpmzliGybfeQ4LIqqJ0HML9MS7IpzCkEs89MKubD+sm77kCguQv6h
HhUnk2fB8FJHH9JYbN/qNW6c4CFkpsPt3xKkvKrwivOPNuHFhigU5iBBSLci/U/nn25lEWMyzXP2
lEwlQRSThuCZ22D3XsCm6OtTKzDmhAuu4g7lzvmurhGEja6LhY78sd+aUXOb00/S6PTJonI6oS00
+GQ2xS0KgOQXaZtIjzLYhpGKHgu8bJ9jd83yMHQzyYmHrCGLMMSvVpxT2pDRhMsYhxS87Ftq7eoK
qXBiWoesVxfMMHqBpfJyDEWWLhGl5BRK8jgjtGVrpnqdQ5Hmhsgsr2fZ5VYNDeS4Ypf3q1mgz+yH
TDwghbUg4RsN0d+a5yde5P+t14FLfBo78Jh8x/Hgw0XvAAxoQiPG2kn42ccnJ7QI07jsQJHIqInv
zdGS9oafBSSJwHlSMxAay/x37gRLz670YD3fG+GEg99ed93gv0IOWXzJ/OtEXSPGbfI3s1rs5bNC
+TF7xl2IJBGItOc/NAEqvtG+jGobFVStLVvp23UpqEV/0JGVoB3FtUGtvkJGaKIHukGM2u0ce2JS
QViNUlIhjjeReOu0wIdaxFX8vLz26URCJiyhxJGgImmRr1cuatY0skO8mIU7klqSthenqsLaKrGs
H8SI0TE71IKvmS0jIU4RLuP3nNIwLPe+RVhRBqx7hSxxPyIWtF/9NhehAitLKIO0m0XIFBSAy4bc
aMqzCxhYyfLvWdWF5XTM0cemJbG2Jr5WeVUjCZsvDXAoZ4WPw8H1lqgvWL2OT3piA/JV8yjGBMHI
Cfusyprrd3U1mPeky270YLHeu/UqZriV36pRzUVn3UCPkbGchMGe6pCdPKAcQXrvt2K3hmvE6cuk
i9u2L56BmsvvAnsbbryB2VEf0MHoAoqmoZlQQ6IVtvQoJ7mZbDgH8jB/3OcJ7gyMlKc8eW0jMube
wyuikEodpFk6EmIqi+7o+0nrWV/TxpDiL9Np7r/S/MW0R00mHSQnawUl2CwjCJB4SuwdrCQap0Jh
ZqQWS9qIRhUrs1yoEisqfW4K7yifN+9Gnlx1bVtYJayn+uNcN/fOLJZDpV0Ry9A9yPzXuor1qbZK
EDs734CPowWveHRKEcDeGAcYoyRc0iQKRAYZYFE69c7rPanDkb9bpEie3JUfzVISP+wotXifjK/h
KHG13RbzQnjx3rcw+gwSTA64IL+cKFHmZ4cxM/HWKiZ58YFq0qx4qOOE0asjw/zijluCUnMFDjA0
LzVMq2LmQprU6qNDy8R5j9TtYCcr27DgCW1dO0x/UusOZnH4ZWMHzkCMsgzUKBVHsrjwR0qjRThY
Os00+0aaLt0VKlB+bX/6GHpzRVnsf/BA4gu0dGILmkQRcKTrvmvWRqXlUyOqFL3/sGyDQxGUY53u
/W60Zc6y7acI+Ggeyglj1QzFGByLPbPWzNdRrzg9pKqs9lGLyQXIZUCRvQBvZGL3I6IGCsS8aGER
fbaNrt1AEIClaaQwNmokqJ59q0DQZMrpkvxGBQNCSG6sev5ai/f0TTnn8ipxDJRGGMogM6s7PJmo
otpxSoJqzOVyKhX0KXCXiWIeICgnv//gjOkMvocosxi/wq/RvMsuPjniLUwdYX2KtIPynjOT7GV9
mBCor6L9MK8OjjT+1JfTL48p3fGLqSsvEWmPQmpQVXTk7GUQyV0ss08GcL6YTbs+7kYByYjV7GbW
c4Zx25LlPVtiAaxjb9lthpYM9lPlvB41Ciw2yUvNJL6x94EH+Ks0BIDZlkCdwe1jQiDP64qaJ2Ai
6IlhCrnrsJoE20HSrSDSunMeKH0R5VZa/INeR9/8ivJYLJMtpLCwkFociQpx007Adh09H55YMlQd
+aLT2xOPdqBjx4OeY2aTXzcgyzlZ2oXJ5GTL1Ywk9XKnG64Br5wZ/vwbs0cqCW8z5pFSRnhpBvg3
gE0R28eCBGOi/494tdTzNFQWxbhjpYUOUU+znFgI+kz0JRG20V7BpC0Yq39jCMcHWdcCacvi4SzX
3hhUNA9erkoCHaoDs/PIuJRhfw+HCbANf79GFp6eh5Gggn6l7HR2vQS/MvTRobnA1GnBVtaCqKwB
y07wyPkXc9LblvTPZ5gpu2tX3CeNfZxUaE7satKH6KELAW+8wwRqwZtkqFHiN+ZICe86YlADKf8N
YMjQq+M3zlhpmGjblgSeyROUewhVROEp7go+36kdsecpWliN7t4ElSR4bnFlO9bTMMx5EAwwgGNf
GrkpZx3NJY3JR5iglF58itMU58CrliZlcgXdv7RfFc4XhXH0wY/a31OH5q5zMHMrAPAdRqvr2pcz
VEk0PuF4kaY47pAbnpKSiW4rYF+vL3M/YgD13ULqFpoVQlZhWlcHimoj8a8Xj01RH8Ebh/gTCh6C
u5moMCz+DnmlNJ6P45DJRYc1ukzLgb0Y118SUdNor2c4Q/x+qFzJYHorF4Qz07Wsc8STOj1/Ac2C
M7Lb3ISAYCfMjkfV8gux5uKmXYB6uGxrZ5bjCCWUeZ0/t1AJvNc5QZ432mOOgHoRKmSGdZxO9Af4
TDVHEaw3L4u+wzQg/9/ldYEOKHVlBqJffZoax66Ta5FXjV9V2ZKgX5RzD4H7iFdm1Lb3gR5gtup9
DimEswo/1iAbkBQiZQjtrwX6ZXaJrmCnPMDEi2AK5VRtLRR5Xue1yVS9t8IFLbR9YQXNaN9U4PQU
cC5Ubcc8JGUivcpMM5piXYKpMkf0YgWtJFFGfGoH2AzDyQ5yXSwGlgSLRATwAGQE/S4Shk/QezFr
ZuuPMUZzVvZdQWCrss/9hMbe+oV9LbszmjpBidGkN/L8tVuJBO11GlQSI5xYSRlukz6z2VCtcwmT
ZQO54OCnyxyET2bYu3zW+e42zw+yJEe2RpcLUr7EymLPMUnQdT9pwPXVI0kSHmqHHA4xjwRnJ9fS
B/aYh82AE4djGsEWzlz+asor0hQGr+Weznmf79cVu8U+wc0gCER6wA0C23b+0G1oCHLuhIDEYWXC
jUWyifZP1CvcMP6lBJBOewtqJCFMnu5iSMpxMS41giFRct+fPLWtupa9D5gihgqW3dOgKyMjSKZv
2ypilmkmXQIDhWN4VG2OJ8sN3g+6+rXlz6m/pFCYnGnN1S3GeALyJh49K6RlxjUe8oDev2fTlCb5
NuWAwzJyzYHy+sLmtbeHfBor2aaEOoOZsdUyJFGiVUGrctxRM4iTUF6Wvbl8E9OWQF+XBgOcTwkE
xd693Wi2DgU5q3dO2nmw7B0MdPKszRSyXrT8p20JVaeehlnVru+rq9LxcvYBlCvpZrDbRzZdTUeH
Z4+bgaRnKmgMstJzomW6y9z1OJnLPIj1hja9USDO43q1qX4OAT5WTz6kSJxVTs4wa6wq7V26LXJ9
CLywEyfrBW6Lz/tg7Kmfw+ZimkidmDlBVxBk98T7d8eerW2TqrKDESuoyMjogJFu0qc9rfwgN/CO
3NJzPkzC85adgt1LkJaWDVHnjCQzdgoSDuWvEKgXjTikmfa5QTriIkN3yjilxuOdVYP2QgBGo6D8
rC/6KNYQdVCJgqQLOtPz0nckf2LGSn+vnN+iBlYjwpQ8dJ7gOaXF3wd7jGd31bRE0DyLeIP1hNgU
quFqxB9jFyGozDNOy158bgELxQ3UM6hGiwt3SSkqYIj2vAzsJyT0MUhkFEhSeTxRdUAOXbvITZZL
Yl7psuMAR8eKwzQ8N5A00o/9IQPTGivAywXYYy9C3Vw2tC8w70+WbkpffcbiuR9+qij21L12JwM7
9nFzTPHr1CUMjcogmUSHpHH4F8QfeUrkmjJlA+VKPnE5pYQ5U+jcA0aVsqPglJA35TaacY9tTXuL
xp6hGE8kQeinGYWQaUKU/Cqilm68CziNYKhHFgTdDBqzGrMYrDtoNWVGE2ub/EP4A60DoPnQ2L0c
wB3UXjovrSLlZ4pL0rBldNH92NEekMAW0WL0XsukO+U+qpSIy3MUh3u0o6UNk7oDl7wZ0mnErKmt
TU/KmSELsSzCAFvehAPAWR5XVerlmJ36TC4dS0gDCeL6v91ooGzaAlWhrJrXiR+cHANGLIbpO+U3
GFHuz1VJubUW3TKVBrALKJj/dnKg7oc+qP2+vqhQKUgSZMU9p+6ehhqSUoi1TRXQuDw96NkLhd+f
tKOs+rIdkJXGDmpdO3QpkiU5DnOT2AETNZNuqj3ylJ3T75C8hl51GWl3iCIUFjCluV1HtENeolNX
JDcq6vv9OQHdiqb11L5je8HL2uECopg1H5qUsuomtrCkbnfFlAg438H7YXXUXjNMfyGZ/lG2+J5F
EEdWwIJRwgzKf3kdSKjZ0xw17ucI78z1K8qYXWgeCFuGG8G06qfwLWNWkvVQEXuBGFuoVQZa/xVT
9B/XUETH9zUUFmQMxGCTzgJncvAdoyOcLCxh+iZ+oDWZG+xikguIPE0ZJ58wX2213vesFhZQzJA3
z8c+mUmhsyJnUjdZgt6cetCbBSRz2JSLKLx5PL2ttRpHI7+EPQfHV4ScKWGwNzHiwpFysjkXImIe
LVWkT1ifYzkb1PQRBTk+vpXCWBoy/JBJD35r5YIcSLwExJa+4BQN7Eq8aOifVlSmiszSXoNpvUjL
RArujBkc8gQkH6RsKADA4nY3wUn/yRQPwwTY3S5Fc6hdS0oNt07YAOAYsszbLBwJXuW2IsDWfDsh
EzInq70cvFTOlxyF5fEJR2HBrQK0UbujmuEjwn6iJY9E8pYrVJmF7OiXc47v02GpPEq0LA6if4t8
GRhtaerQcOgX21nV35pTHOZHt0976F9xoiSqQ1IF3JqzXO4+Dch7SgRoAtp/ehjALXbYYlXuDXwt
xRGzMZWM2iO6bFmojaoSmwy3azI5azb4/7ksp3BAadYyQjz5BMU5iZJnrQ00zXYNZGnAoO2J90kz
LvVFilbV8KrYSPhbFhYvNd4ifwbaaDuHDuHMGEvLwCbWBVDeS3VLOuygbLz2VlmmVw15QHsBGBXF
6bUOnMV+rVamH690iB0IYqapy7cOXVF3/WXfOWOcXDqQSU1eSVqGnJJ1vEqNYiWd9OktVBYplgK0
D3glVR+L4bIaItTDn+D10l2t8HGnLjIGPfJsQNQkdQzXVvC4XAoSjEu2yH/utW4PzkNyYL03uwjN
iqN3Km03OMRLHcl7Rjg+vIx42wyNxfzM6zl+pHyDlMDTYDoUdXi3h/sA6wYYDYElMGNN8GF5VmEi
1QPuvo3A95UvprT5qMgLN8xlgHHC7/0f5s6st24ry8J/xcg71ZwHoKuAvleyZVmyMtiJUy+EpnC8
nOdf39/moR3pOiWnoUbBAqocWxIvyXPOHtdaG6wBh2g2a6KIcBzZ7Sp6GLxWTiV9L4m/mpoforYl
ef7WRbdX+AwUiNS7rvuyzc7o+kgioqy8RleUvnw/8esAyj2kDNMDDavmzDUnSetSBa0YQhLcK5Uh
gudbuEDUZuLUY4YxcERXX6PMOQ0LzXT3kfCkYBhl5vjgai4ytRfDZMsp6xtjFFMS93IjoqGAp1NI
OhmYa157RcX2hIIjwbSqA4ZlQGXLmZfO+vkbRvAprswx0a1H3cFj/ACZwNd0U8JyZ0F/NHyvzBkY
hqSlQgZOE/KlWUn5pcj8mhvP16pWF4F2/rRBN0DhcgSfvyPz2CqDOPcE9Oe5FvDur0Bl5GTtkkZj
9t7rDiSKKAaia5G8SbNejBhqymJNwulQYzF9t7GIhYlLpHCwoW+2ZLNdQoHNDAH9ow/QWelfXoyx
SVH9taF3YGV/j1TGhEN0cDgT/QL34jANa7LdeJKwuLQ0WeDIniUYqrqw4tOef94j0jYrgDO0A9Dm
uuf4AfTtpy6x54RHTJqx3peUSvUL3ekS7dTAB6f/CtJObLGqNxawy3lIC6ofG2c0QdVdxU7S2+PO
AZOQnw8glqLXsEym8l91EETm69pwW36WIihP9vxtHztyg9YGOSoOFJojIOUjRz75Li+WiXFXlUDd
vQuNxQRxgRgHgY2Gg0p3yvx09WGtA1pFzLwLyEfuh+fv5Ih0yQt0oPZYOth8AUii6vv0BRp4vt4v
0+HKd2M5WlYoJGg4qFKo2Mpo5YrmoGxGBD+YQ+CcLr5BIrDdZKu3DVUKIyIso1TCfzOlijhQDVYt
VvxOsKAQeKFyj+ef4ClxUR4A72UiaIi4FJKDx5oSjGWqmtDqqqtqRXodOh0YzT7IA4LaKkYH71ui
Hk+hrI7JngtYuYAVRNUF6t/TN3ZgQEzVd351NUWO1EFMwJvjvG/qnLFtwN9LzFDOpFLnkw8ljx94
/nm/2vImwkw22F7iSJbOO6aWkqoIWdLrL7EEEshEIdB8MXYy6wLkFqtATC4Zn1oA7IEYy7k3wQbu
h0VmsNsHl5RYsSVVygLCbSr7XayXYfBLaztc5Rv3bR4FjHJWgUyRDcGU0l3vqKkHoZzBAaj2X43F
UDUP4yhjoXbGit/L1gmF5toHymKtd7w9gLsMQGqt0b4jxuemUxiIZMWoH37zpfrHu8g1LVMw06ht
Oab7ld5WaAetftCH8Yqx6XSbzjcMoOMya5CXdhhI4+EmsrejYZQoIaGSwssPhk58snJv9kzthNiq
DjlC+gpPzPN6rSasUZMKQ5OOQIk8N06gY+4tPDyo+y0fT/VQwo2Rkg6VMdULCDSDbgbEFF1frLfa
7FeGdTqSmfY3M01NjC81M8E+hCA/3U9d0siuDJ2VILLVgWHmkFuhkRuvWX5bEcXkS+KZ9dUWsjpr
9uVlvXTfSIrFd1VLR6Gtq0ytOrxWUUwKZIDG8NramVRbwOCeWZYVs1cpMztbztpRkxG051sO3awe
RQUomkODiB7CSLGEWqfy5ksRVYw/iXsALAoGFCrKOQAnazmrTHesx9eJC1S9Psedg0ejTU3TIAZ8
zAZHaVhsFlACPFcYhrZ7rUOlRPiZ9B2s8DXdKdSWTpGyCB1AnnVq3DsOWDNmDRSEdIDnplIyXdSs
BEoHMTwgFdnCmKwICaAQZRQCN1LeoDG+hVIXU/u4681AU5pSHotp+0imHh8QQFiuyRy/9ErD5nGi
K+TveUvunHhkTLSYKdReq5NSKlRgH1M+oKAYzBLuNBnqj+2bz+VChQvsFyQMvR0VzQMTL6G0iE9b
jGxOET81oJ4zO3iN0L5x2o+tJOcbC0VeCA0Cc3lslqFGOGWcZ+1lFVIoIavR2wkpNBtpubTdbTcO
NLNzT8NkmpZl17S6uOh6LWU47D2WYlzKjvuN616yuRBYyfDzYej5/2EiSgd7bEM3+DQ6Fdv7+ScQ
c/RkNTxkF5g2hQof3Fc85FMzr2k2NSK/yi7BybZOfRoMBjE2CHkP9tguMJlYQBV+7dY9/8FfmSLh
SECUw7abLizCow+GYcpo0cY239U+PPhb2gg8mxn2AoBGFhZD9PznHSn+Ye7EILPjiGMp1LuBGO5H
dJHMadCxKT3n0k47aZIMdSynnz2O/PfemJiX0e3pElmgVu2Q/GJDDjdNE1PeKsNEnOy2YvHMZBvp
pLXFQ1B53sJ0HHuQf+pSR3oK2qh7FLEoLXWMHnVH3MXOiCJ9fKj0wj68AXbqceyef8bjxWQbEuS4
gUGsiBs6PloTI7JL99C0l2AtpCUHB6ux6GTQa83fpLku1qq2FiEKPP/Bx2caJTQmneFVbLR5XE72
03erwfJnyIyWX1odLoDiA2wzGf9ryiuDLi3FjgUpcPa6xXAVbmNS8Pfnb+M44PSIFByPDYXj/gva
Z0AFmIlvSX2p8iz+W2cpYGZILQao2QEZ8Hjt205uKLc2Atcubxm5MLa3z9/KsWHw8FY2EYxwo5Co
PiZKM7V7SpCX1d9ldS6OFEykZIvQw9nmSVuRIKm6vF15gmN4/tO/Wg/iNh9hS6RGSJOCY0W2KHR7
Q2/K9mLOYij25/3SE+kEMb0g6B3Cz/q02RdYzmxaVdd8/h4sWfTHpsU3yMyECkstjz15LM4WUc1k
Wns5vCuboXUuZ9PTi+QM+cRAu6vi1mIGUMbgeZ9ovMmH7C5Jg5C/UNbIkvjMnwCwYSfbKXVuDhHE
2hjNjTUzj9Z50p3bS2WgHUNqS+qZ2soD1nJqRhTzrhnuQGp02qLyMvzWVTUjvl5Pg6VXd31Avei3
tAjEyVUrGSJYA0qmapbz7xVoydE7W4aCjIjpNlJpHJN+ME9Lf+688ZSGE773+bd1vHWxgPgSKp+g
42BwHR/dcKAHWGeH9N3ALKVEeNSJXtcAmd1Jh5pF8+4wM9qhdTRzN2hJHc2UjZnA4l665qFj6NXz
t3NsSXwCRdjTviiVwVY9ho6M5RQhhWnH71TOpnDxpepBJmsGMmL7eH3Pf+yxU/DZrLwIYyWLwYc5
stEVqE9Nw4xfUO5JIE0xzIH4Z9XUTqGzEd58KxzB1T3dppD0OCmO71jYLUbpHW9TFEAbyHB1ccHk
IiETMUWGz2RoEfSPiqaOl080HsaoHM5MyvBEIEW/SN4xBIUExd7Uu/WwjyYA8sWZ5oeLUKQQC8MA
N8x8FgpB3fhEZjBRYHSfzm0sdXfNrNoGndS6oj5MN7stzGtIlNK3U7FmtvC2mr0WoOD9Ec6ZlC9U
lQdMtrTrPFV5UA0Kei2CHmjbOuSXVHVxOCA+AzynMHrCC1/XKAUHqkw9hDqGSBFVoAfKg8SgSfiD
cbDimTa7ZRZJxswitHC1OITELVBV34ZKwCiu1m2S31WJU2VXpjbhtzctqKVN5YZ0xg6Z9Atik5Ls
nvrm0AJCC0CrXXg1OWb80xaGbzmEa5XSZkhW3ijjJfKi2yFAiJgN+jJL5H7qVxBjwSFYfKoajDC9
2XYGbUCPEoxpGHmGiEvUFQaTqAZNc36LGANsj/t0RuJ43oVgwZhHpmdBnJ/FjK6GHtumDMv7aRmX
yL5Hfor4Z6coSH7LuKr2TVHTdknebFjFvqAuCx0lqNYMZi4oEqK2Ct/+0k2QBP7Y2/Qr8r3DELTp
41YckMpCdzqVBuI6u8TTQJXucgegjLErZs4y8CAF8MvNSJvOXZKuYdgdrDIZfxkX2B3ahjpS2EjV
NwDBJss1AZnhbav+zbzikOZgFgsKldjM4cPUC9X5urUn1hghXmkgrrWMobAOLlFnNdtmfQ41HfrL
rpzAdYEGUd1tkyIYv2W1/cL2BwQQtSjRkrQzLVuF6ClC+mX541IVwCI+g/jshV6BWUDc+6j4bfSl
KIcrENAhrGnQciSt7je/Sxv3xwUAGGemizVxSRsCs13Akuw79yBddtBGAhVMrEX+SM1eqkaZZuLb
6L9SkBhK2tv8kwKpoZXAy18cWpyA/WBEU1RXDLfBNYg5W8cSMMWgaGUbDimcTQfp5cXyxuIyV01n
lZK7ldWin9HoTYb17XtMxEdViG3XJuXBRJz3OoAgw6zppJjb0zEcegbypKMbvstAYzpoKoCGOKcp
LrjSzLckTXHWlmNBlsJtqixFtdI3xCYjqvrh2gQB58CGit1Iv0ayk5S1LCgW/2GWTK+BTbbiJoDE
tURXjdOI+cnnGMwEEBA5/kxfEuzW0HEsgH7M6C3tugSeHpVqk4Nv7qhmOAN6Yw3qyrCqDGMJzrfg
DYUxmrEAdF0fIPfYjN61U0SStIzAcNI/xhC4V3tWlm7WU3/trCh/C2a1NtBjailuVqeuPWUaw3Oj
3ibcniOfIQNXUbmQjO4ahdoDay3bTMu1iQtr8Oz5Y2P7dY2LaUkYF8l2SO1gTLzXoPbiod4DtMi7
swPDGGaGweMwmR/W8G6qnyipHZoL+LpeB9bmMNdsaQU0wI1jyIgOZQEU+xCB5Qy6QFC7pW0BThNy
nqdAQwxMFVOGniMlAFfTnbDaFXSZbeTvFEJMKxu5ng1t5bbsQO78ii5bJ1TA0ZVGneLPKhxwgTdh
My+25jjtvapRtQNb3DgdSrMjd8cv18AWUiZWcw+o6ljB2aD10QjkgcqIxHDRgfWIzXKSjNheaQpD
LMY+c32BGahDykBzUgaBOFR5/iND0QSxoHpbW/tDsQuTlVTbMVSBAUZz3420sgtC2+FCLTxCHy0F
m8iRZsghhXULHCxPzeqygUc1hacWqxra5z0YvmnebshGYTU+VS5jK/d6iqGrQP/KyyUa1KOPAETk
sSJrxbmrHvkSe0t2znCwObtRS0TFTEyDwQBVNjmlzwk4G1MN4vJW0WQxTCWvFj8vaaSbL5wShYvZ
miiDYm3OylpC2RuKDyU1e++uMmZ7eJPrNRahJSHokGhdIaAKU6D1tdQgtlfouCMJYjgAL+LTAlcQ
Ev1aN6v7wlzuadaV1RvNyvMgONVq11s+xKJ4BId0hTkegkGSoMjvsCGwi4Xj2llzuHyaPcSAGGsZ
9NiJKWJii7uDl0pRJmUgdAvfxgqSek+pWqqh2YwqKddZaa8Q8yS30EXcyEDThDUaVfeL7tacvbfN
Ujd6NnjaToxs1E2Iktek/qN9bZlpqV+r3pIPZxuvrKSPvAxa2/TjklPQoQfvMu0GNq7nyPtvkLbj
DzjebMV2PZ+lY621w/Vdme1A2Uq1WNRaM3KL8jhnUlye2nnVirYl2mWlqgbuyIVNq4OIO4aY5nyq
DFQ2/pirFOmyHaLHUkjbsBZxO/C4qtKmADEHK6YvSuHiwP3PYKoc5muBMJZ7VpoUWDbuVcGVt65t
aToSWClfEaqmOYg9D0/dm8AqpedYdCjnxLbdcNtlOQtzoU/hJHwBO/d1shLQFWAX4yQpX4Am1fix
jWyxvno8SndZ9QQ34DnzqKSbWSoEcOLQ1royEHGg1leSmd66DLkqzE9JmYJ6QeGms91oi+JUjaju
NVmIaY2LspmJcsklCJoQ7DDIKX7pMM3wQGFN2gxkfFtNZB8Mk0n94LCDWwUQaB8dNL8x9wp231aD
JDtwYfPGR/9+HEwE61f8y1yQ/aPoVIWiNbdl71CuWe6sNWy4EmXX52dEjUHsvMdBHIBc2wtDC+jh
BgAlAO7ThqNor7qv6QgdwniXFA3Btq7n/L85uFgCiJswXl+7bWTM3SVojw5ooyo8by6SWoTUE4xg
CcJkPzQHi/vebQhH6h9SBO2AtsBjUQA4/gIygNmpbCimH2LDGbwAzMJaWGhaduu2Kw4MjT3bUBab
Vc9m6bdtjdwoZHLAjuYHsPbI7hw2SEQ3HrSGORFXM610XZ96a56vaERquGiinycoFYufgaVCnxE2
gBSetsdgFJCAVqM5F2pHobQGNNsm0g28JqDJ49qm7OC2SqWazMwMqV27ayFhXLnlOG/ZYgp75gx0
C19vnBb1yruyypk1COI9Hc4DP6UnUhc96c1mZyHtDdVvekjM99ZmYlU1jDsLqiA91HExArwAbAi8
71Zst8xEzJ6/NpzrOpCqdJWPqT79CLRLwlhnMaSkazHKafqYrdXrJSrpFqg6pgoGGRoqsdqhTAvD
2E9JN6BXvHmvIXYtNmIBco6XMoxUkj+lCHquO9CVFClYLPkWWYIQlUpX89rklwkTTs8hgbkhRJsh
pPBvjLqAKwfPYKlA0uNRN2ByuxLQg64Uvsd2CFX3b4NE0XfmqYXQfNAZPJxF3evtyfB8soTq0YaQ
qUkAV1XHph1zM/91OfSe/s5MOnG47oqMwBa36R8bBB/EkNjAxc+lX0gigFvrK47nhRNH8p1tI6ar
BEAGwZSOBp0RnqtaBon0deUE6cf55rTX4XnMt46eCtp/LilOfiyCOGw+bmCH1vEFUaTHh6KMXtdI
0eQ3KEjJOh7WrhPNR7b/tse2crO5SGcgZ5QsL3Djf7Rrb9/pO+zTknDIWeZ+Nnmp677y9ZJ9hTXn
RCCcKjeq4AmOU7P+c2JJiK90OBRAg4waL+FFS+z/UjVjAQUdfSTeZ8i0TD6XwFLKqqmS/ewrUcfT
fHpo0R6Lp7s/NWjNMzJjIRosb32jsjWk9xi7ej6j6Mvx1pLc6aJdjJixc69AhYqWTRTfdRfGFFc3
LjUCBl5uZldPBexpQIXj9ht3EKaUitk2ZKFfGhlnllMlLQvodhk2UbNrs2HIdT8Mv8I1KNmdhIs1
LShjjSU34AsEADaV8oe6Y3X85nYd0mqhI22oDxJebOtBy6TnsRW+NiymUetpWJ7PMYT8DPwiQSrm
ZO1PtXmcAedJPcGYqqCp4tRzQjfa3qCt+m+1Mibg6Ago3g5TeeA+y4XOA+IGdo2k725qgjr4+YAy
DJugQFbU6wi8CX2vk9QkzI17JspIS28iZKL9ZdYlRxW1BDzSxiJzEfjmb02UgHkLnQCBt72Pzqzf
kCJ2BVTNFTgM2oOST7oi4zbGlAHdGl7NluLBFkunD7WWBJPLnJulH5idUfQTdiDRKmDnZ66C4VeZ
Lth0Zd2chkpEs+9yA6HVs6z1KVfuQTTp7VUDgld7R9CthfeKg7ggcoCnPGj012BizBguqpZyyFWB
cPLwYe+QlEmK6o0SpJnrRchbSjolYyKW3b5h4dFFoAq0blA7QMYY/wGWrGl+RcIqH5eLfKFBO501
1LoO3jUC7UXknDGttxza00akxX/2XI1FfL6ydqSWRVuA4rzroNNs0dFn9MJRP7+Hrs9Y9Si+QK4F
Icv9Al0ddZSwlJPUFKaYgrllDaFeqnoQw9Ik2t6eX0kJBepQrvf2HxuPKR90V1YztCpEMP7539sH
n950N0/+cobH6uaf+odm/vkBiGz3/He5EheOHkq50Drz60P51SX+1g89f6FXD+t9fWOWpmA/qLD/
11fXWp/nuWvkNzx2f//wjx9s98Q2IAVahDrq64dXeVlE27chPZ/oJoK8cDbVt+kr8IGP3ue/ew1f
3dVfvKrnf+a5J1Av6O39P34w1sr4i16C45zAyLV0JhZ9ecjHL8Ew7BPHMBhos73v//zj35V90ckm
BYtaPB6OatE2+DsPf3SBP3eAa55QloN2jdD0+kU1/PHDB+4Jvg7BVIfyv3zx/e9rB8jQVmzX33kL
N/eHpEBVF0LFXcdzfjkHjn3CBqBVKPrwTx7fO5G+oc4rUo/P97+vx6dP/FIrwNNTzTt6ciQDTwya
8SAy6AV9X89s2niuly65fqIDZ6MvTPtfvoCUPl553znxTZ+Mw/rzYHxnb4HutrLHR17p/+AAHAy8
bvsmmctfOgBPPwGpadOpAvS3fn13e4G+5IsPgHlCAGQR/XGlx5vA1U/o1tuB7yGfKV/fnf+D+icT
W15k/WyHTQAowd1M/PFRIAoQ4CKvAFDDd3YGcNsvXX2CICcgpQCF9peWwHVPDJBJdOO3M/Ld+QCT
6THKSL/AEtiEgoCgPGuzh+yqx0eBpPkEQI9vr57i7+6CvxEqfQmY93GS36/xdPLQPgrKv/kDn+PI
ry+wxZASKBIpPfk5ia7Vlf+Mtv/5JEBYw9xH3/wc9q4fs/369nxff/KTz/r8UJ//8Tx5aG6au3he
vzFvd/n+5kBI/j/57UPT3TwO8lSM++ed/OOHJ/f56PQ/d2HYVx2ywq/2Mh34NnnyCSqIeOknXN0U
SVfePrnyFp299NLvH8ZXOxnhNSZ32eN3YyoD8P9w/T+Ise/zm+L+lfzv8ua2ubkvm6eftbqaF39W
CdV2fGi7Vx8eGhalbNjvTz8H4M/nf/jLLPCLuX9uwd+Xw82rX+7QBn66IspjvPQpGOl9Q9Hq823K
EdvCspde+ccmKe4eXp3djzfN/au3razJk49Rie9LPwYLc/tw9+TCKqB66YV/uWmzm+4ufhhvnuRq
m5V+6eV/R0qn+LJ15scPQM9NiCwv/YT3fXEz9N3nC8nSQr8VNbLnr/xXxvBLseBrE3lUcvl3P4CR
lgvf5Q83zT//FwAA//8=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Top States - United 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000" b="1" i="0" u="none" strike="noStrike" baseline="0">
              <a:solidFill>
                <a:srgbClr val="2E75B6"/>
              </a:solidFill>
              <a:latin typeface="Calibri" panose="020F0502020204030204"/>
            </a:rPr>
            <a:t>Top States - United States</a:t>
          </a:r>
        </a:p>
      </cx:txPr>
    </cx:title>
    <cx:plotArea>
      <cx:plotAreaRegion>
        <cx:series layoutId="regionMap" uniqueId="{2E6346FA-DAC3-4E46-8767-3B95D6FCC0E8}">
          <cx:dataId val="0"/>
          <cx:layoutPr>
            <cx:geography cultureLanguage="en-US" cultureRegion="GB" attribution="Powered by Bing">
              <cx:geoCache provider="{E9337A44-BEBE-4D9F-B70C-5C5E7DAFC167}">
                <cx:binary>7Hxrb9xGtu1fCfz50mG9qwaTAS7Z3ZJasizLsh3nC6HYMt+vKj6K/PVnteUkUltjJ2cGFwhwDRvu
Fpusqv1ce+3d+ucH/48P1d2t/cHXVeP+8cH/9Cwbhu4fP/7oPmR39a17XucfbOvaT8PzD239Y/vp
U/7h7seP9nbOm/RHGhL+44fs1g53/tm//omnpXftRfvhdsjb5tV4Z5frOzdWg/vGtScv/XD7sc6b
Te4Gm38YyE/P3uY2zZv89tkPd82QD8vN0t399OzRp5798OPxs75a94cKWxvGj7iXqeeCUG2YVObz
H/3sh6pt0i+XA6WfS6NDYcIv19lva1/e1rj/z+zo835uP360d87hSJ//f3jno/3jwv999sOHdmyG
g9xSiPCnZ2+afLj7+MPr4Xa4c89+yF0b338gbg+HePP686l/fCz5f/3z6AeQw9FPHijnWGjfu/SV
buLbKv/U2v+2dqjgUhpiws9/yGPtEGKeS6KoIpzcq++xdv7cnp7Wz8N7jzQU/z01dHk3//C+teVv
MvrPvYfT54YZyhmj9/qBdzzyHvFc4oqQhN+rR/629r33/JkdPa2dP+480s3l+7+l99zc+Vt49n8t
rJHnXDLNNSFPOo4xzxmUZpSiv4e9+7XvFfPd7TytlS+3Hank5ue/pUqu7prGLdV0+18NaTx8rg0i
mr7XSxgehTSlnmumNTQTPqmZP7urpxX0+O4jPV39PcPau1uXAYYMbfPf8x+unnNCmFD6S9pXjwMb
oeFzISTXIb93MGjxof/8uT09raOH9x5p6N3fU0O7qrX5x9vfRPSf5x2qnwsjBJFfsr4xj9Wj6XOu
FeNUs9/z0kP1/IkNPa2b3288Uszu4m8Z4s6qKm/a/L+YeBDeCOVEM/kl4x9rxjwnXEsmtLgPb7j+
UDN/ZkdPq+aPO490c/b31M3LLG9/k81/7jHQCyfwGPMgrTxEavAYXGHwGfWkx3xvN0/r5P6uI328
PP1b+sqL/EOWp7f/zSTDn2vFlVH6Sxg7qj21eK5YaJCBvlw/Qs9/ZkdP6+WPO4908+Lsb6Gbb5fH
9/Hk3mceffKvcgPmuQiBATj7wyce+gxAdHiIdMx8iXX8N3+9B9FHVfu/39bTSjq6/dFJ/h9RAv+e
LvidU9ncDrfbz2TMA8bg21c/HxcU0dGtX/LAk7HuXnZnH396RlHzww9+J3kOD3mUQf6w7a9uurt1
w0/PggM6IKh9DKHCKCkkffbDfPf5kkGYDOGOghshQ1APSE9Na4fsp2dcPyfahNRIkEUwC4JduHb8
fImAJIKpKM2JMlIr8TsNdtVWS9o2vwvky/sfmrG+avNmcD89I8CW3f3HDgcUAC2EMRjdZ3jJQ4aF
ug+318C4h0//n94HfugrR86bjk9DH09pnftTK6b8JMnCRtZRmy11e1GUJJjf5L7hZ75bss5GznTi
VuVTQ8lmCQs2+UgUcl1s1PCKF+cp7YMqMklTplHfOOtOHkj6ia0fdvZo5zzkXEO0oaZC0OOdazfO
VWJXe87S0F+TrAliMRfmYplUeDkHS1JF316QaejqaEkeEqK4EIAV0CZ88KGwgrxiXTC26Tlqrot2
UEERVxMh8qTgPO3DqOyD/pTYsHtv5t70Ph75pPipkeOU7ESakfYsUXmQR+ukIJVGJuN6Qgfpr3ST
K7Ztm9FfZYyTm4qSYT3hSdOeF44kdguqcp0iUiZWRr3t6zUWfmzKXTo3kHUgJ39drb3eULKK26Hp
WhcVvcZSJkumdGtVUtSbWSSERrMMnI4lNNLH9eDGcZe4YHmxyJzeWMJgBDOrxK1ldX6y8MDY7Tp0
5NLqtsxjleZLup1zM6dbcth5mPHKbvospTeEBPka5crhbM4W/fsgW/xVKmdsw9Nc+y0TtHtPp7lc
Y9nSPnvpsxo7MotgZ8tKMv/G9iJb86gPKLmhRUbcOW25opdrOatgJ9Uiu58pG5tsP1gH+0tdtcYB
VWK6Xm1DbwJWUf+u08QHvzA6QHK589jPMrS+PbOdrut4siVuSmSApatuwtVuLLE7WkxNHfu1D6co
CIsiu0om4mQEIrLONnxmOH9RNuK2mNPk7bhI83YaLW43M7H1ps/lq0yOeHToeggpXzi0IPkwuJ+z
uZm6U76Gdb2FHNkYi5xBLHlQ9fPGi6FfXy9rC7VOVFBynq6myvbrQSXqIBzT5yX017H23PTBQjZ5
NQQqXqdpfpGl8/oq0GHmo8LDeVkKzLzp+5wMW2cXOGFlCHZppZrVpp1oteWJSjeV6EkR0dkvN3Kg
w2UgjFdxXSTcRasY29u0GMSLZUnl22BS5HKeuuqKsTK9pTPPT9ug4jrOaaNum7Sc3nUsLPyOrDDZ
bA791TRPg46zYobE6yoplz31UvitaJV5G8jeDa9ovgZyIyYFs5msgnjnvJb2ZTh4wXZOpEFTxfXY
M7JGC9fZyjYFLJJ+mGsP3eWs4/OnpVjG7j1e1sWnzs/+Oq9DclNIlCNxm8JGHG3oGGetITcLPWi+
KoNeRkEyQ7flvFb1dlVt9x6SgXOpooFTll07JzsXBp372SXCX4NEgSMEq4KAc9pReVJWYXsu6Jp1
UeKdPU2noi13RUL9FWeiPx2zdfEXrBkhetWOWEX6slgjAm8zW+8LyEUZVifRKGx73mQltTflugbB
22BUa38xUBvYq8Ub7KRaGMLvWs+LeZPzsC6vk6mwp74ObB8nE2Nn68QRINalhiztMECWPpzzLjIm
hSC6sLanSaUrv+OIKtm+6xVl8WdDLn0AxbWBgR/L6eAUg+V4ip8ZYmjDW3qTjwFhsSY6kz/7So/0
ZZEYBAqdkrL9oNhMLjOpizTSVY01gzIt/KlKUlv8Yomd0y4SYzp8ZIkeyncWEYJksU9WYV+2ddNI
Hfk0SMxWVWlgt7QkeFIIc9q7XkHnQ2XJZTGszL/TY9KXd0I1lPYRX/o02dbhROnLGvln7SM6Fqk8
Sxqqaxq1rQzDs4yy1UaCqLWMgjwNf8n96qI8T/VlA0T8s5jGJG5X8lpNqZ9jUrfjm6Vdgm05uGwD
w3AxG9PsjFUm2bAkycuozqc5IowsYpOpWpwGbpbzRcuLPsjfpRkf3Y53QjZF1HZL0iDItGddp8O3
TnQ0ZnX4S9BMeTQ0VRmVSzNEeTZ7fUpKmv5auUTd+ZQlUUNs83Ko5MU4237ZlpX1r2Sr0l8Em5pt
jSS1ARhg17pPml8Iz+odbcI0idVaiygclL0y6VLGqit7FtG1rF7kXVq9oYVTkQndsFuDwUfB5H3c
2HTdTvXcvZyqtb4QfBq346yqVwjr3S+FGbPXE6+uZhX64sT2ju/6pfdRWLTNyZS3+evUyerNXHOX
7uzQNBcGCWxTlf26rwJT7jTjeTT1c+OiSimEvYm1N0g63c+NqLtsU6yu2ek8bN9lUh5EW+cm0lKM
TSzV6C876VmU5lO9SRPlPuVW2U01cn5K1yLdzRWllyJ1im+yUDRL5BfAgY2zdDrvXd2e6Kpfqrio
WHumMk93qSCviqTtTkKfjRuLM/5clLabkaUmedYsCZm2S63Gy37gyWvTZfIkcGu5E4GRcVAEq94t
i5SXQTb05wjYy2nYNMvZHBBztg7lvF2ctfFA+Rj341KcZo2TN1M+rR/DsCrOjTbruW2sqTbfRihf
gTmuFMpqhcrboFeiUeM9xCd9WzNdVF2y90NnT8smqeJwZkhCPLB6U4RTe57Ay1Ez/w55nwBiB9Tz
GIgpJYTQVALpKm4OqOkBhOTJmqlsFmbfV4iiOc8RGLqBAmN8ex3xxDpSYRUDtIdOzxH6mrJWjs6k
yZ6XB4ShQouY3fjuvfAJAsZfXwyVGIE4CdOGH4mSwIeDFCBwr6vZbNs242cuk1Uc5KPZfnupr4Gs
Do2G3EAgEuD5YwieGtUFPpR7Jhdy2YyA3mI2Vez00J471ervWMkT6xHUIQRmEkoudPhYX0S3cNuq
FvvVZ8nb+xTUZCEyhmgc0IjLF4j322c8iOuxjeBwOtRIKhzKOwbrS53ywdiB761sgK5UEAL8IKAi
AzeeIgeiw4R8FNQTXodBgfTx7Q18baRaSAE5h2hDUREeHbpteB/6qpT7cczt6TwH7MyTuT3/X6yi
iEDThQiKyuSxaKuEzk2SO7lPh8yeLhgvOFF6mb8jzKfOgoJSoylgwEwfu7kcGO1FgLOY3umNzFUV
U9/9L8xEGM5CplHtoNw8kljZ133e5a3Y08TmJ7nNYBTTMiu/XZKBXA6dn9bvlHRfxy/EdMQwHIsz
vDoSX5NPyTJXku+DNpE/k1Gn+zWcAEXGqjXbRi8hjaRbYSLfVtvXkUUbahiaMCE6zF95hKFzHq6d
oPtyhHcnLeLkICe9WQupQfh+K1g+cUQYh5Io4sDHyeNgqarZYqma7r3N6nipSXu+uqF7X3EYTHmo
4PzBar696FPnk4cGLUd7XApGH5vlFOYNy4wk+0r29rSpOTurQp2doND5rqcfqIkjVzdgJwTnn9nG
rz0t01aHiCf71Tqjo4LUYo6ECqvrblrtZVtUWRMlC2Cyn4HrZmAtdzn1k092PHAcxUUrbquUuo8k
cwyoc22q7EqXsqu+I5andgrqgxpEJIx90KOE0uRizpcggYXXaGDHeZJ37wsfIF9OBYepFQaw/tua
IF/7LqZ74FVIzwa9V3UU7NMKfEmCHLcPdACs6zVD/TB4P3zUliBlZl1ysPciJ5f9WPXvp0msZMNy
4697R/vqpE/Htd8BJeUnw0KqbPPtDT4lE0TKQzOfQXf0yOvD3mXrpOH19aoBukNR/ELSgO1dxZo8
mvvwezTOV7YJSvPgDaByYKL8eME+dwfQv6z7iSf81oVFWkRL38BMfYdq/Nune2oxDZYrPDTFkQ6O
TqdXasK0N8vep95fFU1pLkKnUeWIsEOV9O3FvlI1TqY1aLoQ0w8IZ0deV5cB6VwSLnuZCBSWGAOD
ZcERUSV+eyGKBvBjl5MIlwfwIHA4CV7ssX9XLMu97NQMBGEzdxWihhvjQLuhfJME7erOu2ICE8JT
ri+yOas9KhLFbNRXhzTY9v46y0vwBMGMYil2ZO3er8ra0zCQoLLAerFdWB3Yj7kvURzPNF2uhqY1
bf1XA7EUmN7BkBzyGgu/gkJ5s+hO1c7t6brozdyM7Xk9Z/lJGi5/GXVhKdgAVxwsr2LH6W1IQzpM
PrN7G0p2pmmB8/dtb7YB9e05b/x3+cND9nqAgTjSmtL00GTRRIRfaalZa0Z6K/he9p7fSUmnveWJ
efuZEJHKgdXp10q8ab2n34l09NhEOFaWTEqGlSkDEmKPTYRXyZDzOS/2hIBJWjdhoWXpTha5jozG
s0/0r5KUJd9MrSPu0qQtPJBhQvKUDkuTRJQWy3U41mAR1/LA1/RWHQqL0eL1qmBHtpauOBnx/Cs1
LEGDJ825ODVBWhYgLjVrX4nCrW/twbyqAMngZBks6faTXToXUen8lZg9qDGXlOD9ShBHSZT3U6o2
Op1p+UKEQWk3ISnrVzPYhksrh+DE81xetQsJ1pNWNWUEFrtZo1D1NLwALR02sVNiNFHGbXcxlFyR
WFXdOm/apV9RQK/5ftY5iflUibGKRpL1ponGPhcDuO9wmttbthZNC58hBcijsSMV+ThbXYIUDwr4
i/HdgQxd0jK7mhaP1yro1/ZMtqAoT4w1SXYqpxJVUdOvuLr26gv4nMoEzIupDrim7+BrWVOJ5RPY
8nyOS5JaFO6L9aY8S3Xgrzu/1tkVq9uqvSjTfhpeOeagENopeHdL6q68btcQ+cKOA+l3JJT+ugyp
vkilbMtr1RH30bsQp5hZIdY7JpuRv7A9OVBRcwU1+zDHjTi6uBUztvu6I2hIbUta8IsJ0pzAaIzg
5vJyKP1OdguWBw8C5mpYMxDhul4k204swRNHmSXk13VmzVnvizF47dscS/fliqxlwoaDwskq5ujL
Zp7EcE3yIHObEuaSXaFebW1MFjV3cRDk/GyarFPlZhymIF67pps3kiKEizWFBTXNhEKCqjlXF3xK
yHyW+aBKkFfJlF+2tgKnpbvRrSe+Qg0b0dyAZUzH0Nsb0ghbnehcwMCaTEt6GeQWueEzDgBnD+tb
UwmqIZMteDMiFVvOExAhugfb1vpPZliTK71O/uqeghPViM2wzJMbXlBxmydZlmzd6Obu9N6tJEVs
CQ8+MytW6NtG5KDeZrGQG+JJlp+C7QU3TweOMG6lgBX1WqIyyyoBuVJ34MxZ4cZfl7ydp53PwcPf
t2aI5reJYAcgkXJgO90qfluT4sDEWtDzUVeg/PEkBAP/Of0pOYJkzMBdqQuh0I+IyjD3xa7VZejO
a5PCTesuQKehWjgEy5OJs11haJq/ck2PjZAQ3Mmuq6i7blbS+19Gr1gwgegRZXmtW+PHF8JX5EYW
RcPj0Sb5cqcDdDK2he4pf7WQDixwtgAbM/jfrGrkY7QBsjbKQFfAVji6OSU8eGDqHYB5OaSRsEPb
sajKpy4ooiRZa3DzQSWKfWUd2PqlAim5A4O2alASBU/2dRh6UG1gyAcNgmwdp2K+z/hfOpNX98H8
vr32AcydzdPsy6D572//ddPW+Pt5+PmPHx7m1P94h67h/YD7Nz91ctceWrvu+EOH3fz+LGzmy+4O
vclHb75qlP6bVuj9vPy/ufjn+qQC8zUPIMtXbdKH481/NErv7/rSJyWEPwfRwkUoUZ4fJnZ+75MC
mKNRCrAGZAPGBePXf/RJKbriSsvDaJwxlBxK4S99UkafC4YHonDVh/LVkL/UJz2CWBjKl4QSqeHe
ISgMfkCWD0gukM9t14+gIpuZme00J4DtLStUGZdqnl7JQCz7wk9NuQ3Dcng/tHx6U3Ln+8iZpn/3
QHpfzOxbXdvDbnhoqFIKMAKZ/bDbB7vhzdKVJhunS9o35DItV4TuUbUSrPo0tCaaZj6+V3CNPLK1
Rubpi0OfKlnBkcZoZTQfzTCEL/EM8J+0qsibVQSaAA6I5I4sAfHfg6hHYPjzjlH2Hups1Hr6GObz
XCG2mmW4ZF6k6Ub6tXozcZRIu0EtrQCz4EmxyVWigSbkkkdLGbKTGtgA2Wxqh4+Zd47EedCJjcN3
QaZoqLMDk2RFmW7TFjmjHM2+dgY5BMSeeeuy/rysZnScchfIFyAwpvo7sEo9RnQ41KGUU1AE6DQQ
VEe4Wy1BOgdd5S6bATiuTTXCIS8pTKM7dHJnb83rLiHVz99W/1EVEyqiFNgDUBWf+Qp22NYD7YvQ
p7xzaXPZ6JVckjIbL9Ffj3OdZG+/vdIRZP28EsYQULFqjD8Ctz5eqWv4svY2ay91F/LbfkYqPUkG
vdCo7LJtiAp1jVm46DYumJjr7xnNoRx7gJixPAwF/U7O8L0MRIej5UF251na1Pml6ktxWxejuC0x
/lmdiLV2W2nbNlpCqP5kRhcVEKps1d1QGXc2m4VfeMlsGLMZbbm4UE39htmOsk2ml+WuC6ZuEwZr
rWJhWm5PBQMS/k41Q75WFAp8hA0Gnge0FkdMe6ioUI6iESIJXpAxqW9zO7g0IkE5NDxiy9Kke9Q2
5a+pNt0FmlfZTrbc5zElk/o0qHVt4wXwI+ZtMd3llqmPk+gytf+2ikH4HksZ8x8UEyCYkTwUX+qo
NJAWjRebDexFwfsuMXozmAxIafDM7IZpBATxffhqqhcxRlmWqdiS5sRR251UHO2ssurr6w7IxEfI
4Om7uajbs8UNQ9SJvnsjXak3Sd8k8dgWBVo/AyvmKClcczl3gXvZByvbpikxRRSsCSp+OmX1qZBD
dU2L9CpdGgboPar+ckj6m4HWAUOXkkKQ+YIek+XjCrg/6+KiyoR+n4Qj36MXSS7W1E8mnjGfUMcw
uvws0Hapo3nR64bMIgC75z90rh9ej2GgsmiuB4VJiH4ExqH0ps/IXJ4kKiAY18jK5FfDQjtFedMH
v4y1qjdd5+hZ2TbdGelN9RFARMLvWV2+zk3iFdpdPN3bxI7xAjmcEE7Nyx6N6y1HO29HgPSmbSUU
SeNpTjUmbyhgYu2Y3YydeZklQRpuCGmHU6QaOsdNWMhID6r62ddhdk6t6V4LNoiT0RQB3TlZr7da
tnbr0KNbd1Op013gfXhLXTV/cmnXiXilQzhGTUqndOeHooVzzGhWpdOod7ZNsk01sPq0wUcjJCDb
QtD1pKLCFUUQq2RWaGQLv0Z8qJKYDUFTn1hZblM+LuGrmRGOr9fZsIoKWNKwY8Ns3Ilnyl9I9LWr
5NU490NdR0teLY39mCUZpet7Nwde1VlkLEJ5+4EudTEwG43DOHbh5VAOden3Ju/Xk8mMQ3JW2xwt
5oJW7evPGLpYGGrGETpIQByFxkNdtdabJkmQD4eqnPutLOc0jG01kORl1odStaclagvARF+Z4UI6
UOppNCctcXM8IhfuZJAVycsJriPTuNedhsGx0tW7psqtiaoeySvZ+ilHQzDBTKWIlgQlTdy6Q+mT
mRFN+7lS6Pq7BKhgJ5oUwx16FYiYDS3RGawzC8phckvqrlweYDCkTXP9KRgxDhFuwpYOJznXo74U
QYKmV8PUoEQRN97163LqwFrYbNulaEBvEzeBEzTWNfluqWSNfqRzdRcLuoDVUl4s1YnN+zyIoVb6
LujqA6fIJEZK8C8MXlZFGDiIvGneYSzB1GfMmqHaltkgr9dxAP9TBC3GUkAeOdVEKqPZcJLYqWte
IxmzfZGutNyNHXawbYcKzWQM4Kwm1sXSzS9qvcC0A7iK3SSEjHvLhKjQymXpuFHohHdfhoaatWDr
XVWCMdxobAC15VJn/RkJc36a5qqUMS3Rzd6g5Zxs1jEpBTgr25mrIpkLHrO8x4BF3RVrcB4mFd+R
LkkFtosOGwr0DEV5lhOU4KXh2YxaaA0iYnLTwHxS1sd+zoMVVWMe/GKbwwwAGtWlppcYaskxlKQn
HrCbpZrpeCk7s7SbxvTDC3SpkZLQfi5xgzlQybskz0jzfiUVKsZ+qTF14Wax5udkSIf7qhA9S7Ab
msB4d2ODimnr5AoqpR4JSuqK9aWL9Zxsc5L376t5BrIAMzq9dkLOv3Y2Y6eTwhTSVpcgfKJGJ3iO
qFrQCY2dyOXqO8ZfuUGgpBwCfOJ+6GtARe23E62L/NR6SuezBhNU9GUeYCanCfuDcRZF705U5UAk
+oWjcAz7GdgRE0zYWOsQdM+RwcxbUGqw7hpR0m4w5YjpqsGZhF4VdkTdR3VjMCrIi3l8MfjhAD4P
w2CiDKTftnONpdt2xcQKun+YdAs/c0r1Yesz4hP21dXkkosGpxh7AVFlZYua1ZQTXKer0jJ/1VgF
l7cjUEGKa4ipdGiylz3hi20i1mUh1D1blJ91kIFhysOx9zsfqpBtl6lHbY33qLNxIgQQb8gBJw9N
/TahDH3fKc91pDNRwi4wA3U7N4dZHW/Bg7HBozhOAXOL87ZryuK1RrY4cU0I1t6k/Xt0DyTIDZ7l
dN/q1IznSdam02axqp8BcBd20lGINQZPtXwoq1Jc+dGF7WkfLlP5bpZ16k7rJKg/LRgEQwzJe9TB
qAM02+Z0ydyuk7V5F4RJvcPURtpHiiPMLXbOrvN2cOemLguxEdTSFGEPPbdoyqh5a4sAw4AVbeAm
a5Awc8ablvR3NQLystcEJrUFBQcbKUQAiaLFN22RZOb+nNiRyhj1+DAh07IpBPTuMd5jJnMTLIDp
+9WAzvs4uGZxUQ3OdTrLZ4pH+Zpka8znVKZnHdQyx0Fp5G5tp2l44VH2vy4m10dauVNe+0mcrrOE
csqQgLDpqrJtXzTS84tgCHm7zfqmns7TZe6yWAuU+jdAIu5jaBqEEYRON0Vl5maHobxJ98gCS/+6
SnuS/0zalWmMSAGBLW+6gWEKK+sdaIhMYWBpHyTd/GuWhsEUV8rJ8iw3IXnlXZCsJ3bsXb7N1xEe
mtOhYFceg2TiskZTCrRxN4XyBScZ9/ECdOO2c9ZBazOmOjF2t6oascO5aks883YzVVTbk1X3sP6S
exBMS7KELk46J/t3n2mgIrOwNWQ68xa2XrurxjQEAZZ2ptjpOsOMjB/fUz3OmkRlOak3gjYgiGaR
DvwFx6DXdN0nDhNrSwqL3nY5gzZROGAiLWcDqEtlu4xdUR9WGJfyrcG5vA/SF6UNwK3V6FvQCGhs
HF5UVYL9W1OmO5fpMtvMHlNVS8/h9xiCwTQPTzL14jMq/f9MypPfFPiDE6EcNeTv/eSviJSjMf2j
+75QKVI+NwrZG18oROGBnq/8jUrBt9cPv4HAhPgdBBgPkwe65MvEuSLPGcIA2kgUVSoKmS80CtH4
1jVFqwT9UQyM4Ovvf4VGYYda4o+K7rAivs0IKoWhZDYYsD7UIg9KV1DotkHGEHeaJAN67bTjXYAp
pQ5d/rdCjF15i1kl4XZNv7iFbwbqReZjzAOEv6aN5Rjybqkv1d5kYhk3pQma/nQ2deVeoALpgiVq
Sy+6X0U5FL7dBFJWBYtT1GbkTvl2Ga+rzKvqVmvRJR9YzXp5mcq8B5VYE/AEVYzBPVu/zEg4zM0m
rYQtQfTM4F0viFp6bDmta7Kco2XcFJ8CN2EM9p5FvP+FCU+wO49ZBcwEgNk5fCWAY1AAUj/u5ilS
52MmM32XzG1T9KdDjXn604pPzqrT1aXD/1B2prtx69q2fiIBkqj2r1SN+zh27JP4jxAn2eolkhLV
Pf39FGfjrngdJDgbG6sQu1wSKXJyzjHHGEVzYCvpV/6nsbPSzf5SdTt7X/Kfzwg5MKwniu6IPMvh
Zn5/RuRg0RDYQfm9cuq96Tf2whfk57FrqeqkaXDo8UDBmHtFYnkWaPz97Il1cFPH24JZXI0BhLca
+qUSNPhjP6Jz/Zc5Ygn/8x45olEtABiJXe2/L8vf73EpSssttLC+B5aebPeQb2EeqlMTgRHbSafH
IHghM8rGy39st78/m/26XgzfHAaRCzj1/rrSrH3YWyL6npPVAfNP9I1hd1MxdtQPVWnKD12G38lI
pdy7bvAXRGEHDP7xaLg8SMzeKo8p41320O/DzpFlWHAWxXcrbEIlEDzYAXR/E1vjZb9BBLorLad3
bkWtVvNYD7a9FQmK5oZJ+fNE/A5tINzzISnAQKKLvgO27yklY1Da1QrD8FsWb3RQzr2SbbYerQwE
bj2vkV54Kn++5L8HHwH1egH8HBgmsfeueQ/JMGuq1dbfvWBml59WJ9g4FH09m8E7gn55wYs2zDqY
awDJ6KUnmdKAtWVvy/kvC8F5F8mYgNgGN9k3KvzAf/WP83ir/FiO1msBG7W1LpaRjkuRtEtf4Khi
KEc2Ly1b8mWZLDsDRSV+aRfmsZVBtaadRW/iMW6LVncH5ffafWinshte/zxnv2M7NDOhNHlgxNCb
ieEIZX9fMFShkbbVtrwuetQsAtvQ1vGONtxu3yKZFZP1KF1KKjbNOPf7CyRh83+dLDQwkJ2gXcBz
FB6h7ffboM0zjOsQ9K/0Ny1ieEX02mZAX3tc/WuR+cT9IUdLAcjnd0RULVvt+BcRZNupTlRBtN0j
PyXczB1uzXTtLXD0/8YPcd6vMQRfYueY0i7nCQfBu/NpEXMn424TrwMkHas9VuMgG3OvtrGUHfSH
FU1TaoXtxO9oILf9eojqbbUeZymzSxKupsrTdtvs9ZrCFVg46SBhZmNqaF43DyTt+QbEJeKFkOha
1ep0VzYpPp9al9ms1F+2qfN734JIRU2AiiyAyUrXn8X6+8yzMjs1oT15Cf3er3yEAJHPUswyE8c0
WPfOfQEb6y16Qqnmd3DgCCfSyeAmJcs8ikCdzCz+vqG991EcSgLJiB87jiv2QPJuWdQLgAqFkXyh
oC21OgqwQu/WdQparGIwK9MRZzDSn9tiWdcwMYWeVZES8OfgIVdbZl3o1qvgFFj0XO+iMtgThMWb
2iY+18bfH08/iJglhCoMiZDUVb09bw14UJ3YTbMfWiWzzwPqu7jgh4Ku3/YctTCyskT41crLsNn5
GB2kT7sdCZLZn1295CUJhvp5+TjKLVieUb9UfERP8sCdl1a35waj9Nv66zIEnZKneNLO9OiJfhtv
tKYFmjRNq902tfKsXS5yj8P1Sxd1mfc82ZPDIgujnDxjUt3e7fxzbHgfwpn9EDYsNSPUFF/8JPL9
IxcTGQi0E8vmZXPaQedU4nZImTxDD24uhVEzgeLPV3wfjWCHU/k6P5t4nN3vrwg2OBRzK+YvYjP7
YpyNt4c/dwhrDu9gUn7wkgEBsQjBWEDLb0MCC+v0z7exp7O/HaOA3QGSsIDWgu1Cbn23KTYxGQWV
v31uva4dRTL2xrd+9KpQRKOiHjrnqLOwL++nIcqJOLLwe5pM0ehOPXUqVAnaT26urpssCh4XoZto
TYbZCaaHMbLsMlX+BomIRWQXSWV7EAspkgJn3+woFKaHfirILi6zqh73nT95vvjgct7LNRG1Fsv0
l0bV+7gW0Qm1STcYNaMFiH13dtZBVnSzGsKnyXQ2SayvtUsSO237uvVIsuA3OPPCsl3qWPCSjz8z
Wwhg+5IWpprd7DFbgn1Ju6rckBOVdFP2EKm2wXZOqpnkUJ43f63Zddnc7jm1s0YtuzN0FNvoLw/x
XWSjVRzBpnKJajxBrIfehWolunbrq859isZCsLdGme83MFoClPjXPkZFsHJvGXQQtjixcg8pWioO
GqtwSOMdsFF+1AO31V+buEKtWc7NPg9qnfvgLlML7yoLsQ9xzaE4nWor1OIkIz2JIV05LxjuX4b2
rgJgaLFDk5nOUYQumHzv96A9LrUTNqZfn0Q+7ZFq1IqltTVb2X8b7ah2u13PqLbn0O3287G1IP9A
6wjaJl+PWxuAM55iYZn5iSxVMx1zWAlWn5g2oklXWjFLzJsbuUc3Q9jcNW0zYW0kI+GC5ZjZ/Isa
y2EqIO8zFeMYFtaYQm+p2BJFDGNuTN/mZw+F9dc/T8K7PRqRLpBdhbCxKTvtf6W6zrx5wRoo69PU
hj3R4S29dYtomeqUypLG4N/CwrvjaL8kyjzanRxL/wuNEjUTKaRcwk+DcVgh44pyszxz9jM/XiW9
3j9ms9UviDobgGl90Uyom7+2BD1mCaSxGe/DAD5pdcpGDwiGKsSdHjQ6f06A1mLjjwtSoLtfjy1X
c8dUIqjr2Cvsov1x5PWyPwgLBjAv8VrF04Pdtz13Ap+Gs6kOxr1O/fNse/G7fJbB74cAQQImBlnQ
+8qGdBDBCwDRp6JYg507ZWoh02y2s+oucDdPr0dV6EBGSey6cVUkWqtSXdmNoaOfSLId61rnreXd
Zm0RipRm8ZJ/s8vGvpgz4wWHOuz65rsHh04/tH3QYvgIQD5/8CbHXrZDVHWxL1NF/jiY0zz70XSn
VQE2lQSt3To3tN+c+NAhm3LSahnhESU9JKytSopu0kBv+VJPbAZI5vPaJIvlV151gjRivMegGVcv
T+3FMbM5y3gunIz8LcvHy7EIycwQzTXztlHWshTl5VKvmUnUIKvgNMVhLg5+ay3bpxnVcvlsvCZH
CuiNrpOu1Kf9mgQ54PchLl0w3dxv8guEMONB9fa8IbnqbPvszE6B8gzpdWEfZd233tPqT3ltPcW9
vSyf9n7reGsNY2c9cGKE5juk4UA/bcgSuz6RfQ8d/mMMb4KuZAm6AYDqRW2fxHUv3CIN9Tao6NVp
q6j7Xriyn5YDS2VVP+iazbNNn3YenOpizDrlRwfqAL8JzlmLjuQudkBA6/MUSJqFxY8i6sTILC+0
5LV3C/VlYklvjh5k8RG/gjGwj13nSRlemphWR3PT+Uut8mM15eM83SAzz8vylHntbPwHxJhCXQaV
V+TRibUSiDqB/GlzrDdDVM5xklteoMZDgZq/QkWXDxaUX5TAnDZpHc8eAXaSpfE/95YJfLr7sz9b
GRxG0hbnzkiyrjgZVxEtwYcG0gwvqFP2H1pliXwrgY3vcbmtHzz1utEqhHpbBVrm7gU6cSsM07Xy
axOelw65Auwzb9rPRdu3SoaTC59D5euSrYEdp5VfxH7+Afx5liF9J6uam1NYC8uVl7VZ42j6EECG
QL+okN4SuEI9+kX9HOZZZm3XntcMzJS1KkL2LVFbFf61JTJ6GTe0ekqnua+quYqy41wRCPJjXzqC
eydk7be0TlZju0c7L9ZSHWxZVwj7utG2/O6zm6PFVqe2auL4ydBSVpAHw5CZBSguOUFSJyj2D+H+
SVkSpeI9p/eKgdGnko6VCE5VMe8zJhpkjHHSD8VoPXZtuId8mLV5FKbxPKKrPW5IcIMzoq6W98m3
oRYjxAw+uIK4FHKWDMh5kqZwKDI7B/1/8MGRXuH6/+M0yz7PnRdXYEkWFEQeBSTDqPB+KEVBo050
ecm0UgDuNVRwWwrfwPzsPaPM84hGu+yYL4uW3rkwm+cstxFkLG6l5EnL7TFgZXEFwa/Ua2Yt+wIL
tLU/eR9+k3pt4nafmmmC9IWkd4zUzD1MUG8Z46/xaC2EegVwK/iZv8g+eKx9KNuCbkYMAJTIENKr
ffy1eqBX0Q88hJW1Dy4b15+TYVg1Ov2V48b+5u//EoNf3wq71Nbjr6m23t7+30l+ex9IAbTU0JUt
N+B0VjG91mUgS31G0bMyaOVu+OwmuSvy0n6kAM9hf/lvD6rfMPTIj1TeRueXnROvmQ8Ru5jW4EPc
mp5ZohPY8BbaCg53BcyRTTEE0HVPevPWd/lhE+a2eo3fZhAxNJ39g3obU+GW1Gip7Ltgdi5Wg0Cf
TfP2aN+WR5DVDfMTeCV/cfTDZh/8EqwF6zR3EB2TSHhFwA/XXtlh8bTB9TXjFSMV+/S+LaTNrPRn
jwxy/xSn1AN/h5eOYHUNY7Hf+tuEWtu88Y8eoa8XHi20wHV1ubl+uEgkBCBaNs4VBsrsTVzlO/Ix
zDzfcgpd9eoEecfyGXwyVgavJ5LdDwNY9v6ByIJ58SaoOswIVAze0m7+fv+dCfJifjJN3uTlqcsj
PrdQwsnFRT2soTNei7e1UlZDPIbnX1MeV5PmdpZS1HwIJ0DPxStZ1pzzk6O2wH4ic6ui6SCVNXZl
ag95xsX9qsCOAkm8BNtsAAyAbHhMhbkM+3zfzlCydqCnXk1QRaeaZHFZr0Q8NEt/MXo9BhRpE3tN
OyXZkFPnO7FjeD9K5oEXkka/uWuV4b9rOwOi+fbsABUpsPzmDuptBigw64qrO0XeT89Bly1UARmN
SlbGHBPKq9MilEuEiXTRmOjYtByx7XGxugxuFqQ6vS1f4KZXxJu86fu6vvgFJ1djU+jqZIqGevfb
6g24wV7IqmA6zuLnnlF91DBhQzbX2fYsiqifxycl5mIOLsa3oS9xPjBFArp8zYjqfB78Y7DZDlEO
Z4N9+pwFXrtOwav2Jf6Gn0ZDPTMDjnH38Y5l6fKiWeC8X5VAobABmg1cOfbcuosTIIs1aG+FdDTv
QLq717CTj2748RfIsjl+ozPa+0pn7mWeKYglyfYGvWWU5aCGyvdq8NLMqSl925baqYOyAjDhX7d1
sO+nEdUGIHxeRyOhUgTZypk3rEQaOoECWn99YUqxQwWuiWqw+Krpcv5crw2j/DKTnmXW1ZyhSC/v
YlHtIGVvOO5uwzoTwfgRF4V2hcqSVdYKBW2WfjMcgC6cwEtCQKDgxcuFQ0nOYRjz8DfL2xhV0LX7
sdH62b7ctKsdFt/bTFZjDxItSrsU09W80b0PP9abma1HTTINqrBJFQcvxFvWlzXLjRlAcLePIZMd
1iAnyssdpWpK8lUy67jtZ/kCfbRQzqu3NEFzFwQKa4WT5/bDaP1nLp1qyY6caDjXJGjVamWlUeOE
+hlEcq7HT8i+qjxPM3+Fmf8wh+Q26nuMJl+5X4YsApo469pMbYyZzDbUz5tnXK+Hjh5QcCQjRCxy
SnTwsXEMq7yFAZ9O/NAK4aDOdKaWw6+RvD1LBbmE6fF9se7D+hlummba418Mm4AXsv9985ZDu78D
HQpzllXu/jPfsbHdSdccixmdZgJ0oj1Sue+9jbLJJFs5J1vM7jYkgPJYsVH3XRm3+29+LVlySiIR
dL/9V294+B5OLfgAywqZMHFcbUf3pgjzuU9muEs86HXLYvdyhq3HH+XWtsOBA30iXjzSsvFSbTbr
24Mw19yBW+53Xpd0Gl9+XcjXMUcaNhg87LeKrSurLayTqpPG+wgXax9f/QY0qsjZwWgscHYQctCB
9rxDm7eqh+6hECY8mtKXvH+c6eJNV6Wb72kcbXauEU7Nflvm54az+ppzJMl82DOkMu7eZjx0MzoH
9xBmcJPKxC+Grm2PRdWwG6HL7Q0CcOA96NV4SPK53uBY1XXhiiaM/gJ8vSvod6Un/Vb7zQPM+Res
DI2K5LSW7mOBJwl3Heb5wm5A6drcKcvbd1AzAbwUyQSFiXv/S3X3O961Xz7YGyf2m4/pe5xVm6W3
5iEEqnoLjRUYMHdBHcBO+vOl3gHo7Cb4MzbXArLiv8Fe1v8DVJyjWkFDdrr/rhG7Xvo+hVfqeR9w
J9yffhwU+0M15a4Jgnvr8ch+Bcc/38vvEIJvY67G/30GTzucde7+fi/Y4rjAt1X+CI2bMFb6zp6P
DwPU6uPWkzr/bZ7/fUGEizDzd5o74OLuHffPwdeFtp2mtbMHtXQcFHnNiX8ZrjVL7dfO/vMAnfcE
aXvHbm1Iom7kOrSj3l1waSov77CIefgVMeZi20F7NFir758Wb4imUyWzTUO9FGt1aE23x3OhCQ04
mnicR3+5o99XOnNOKYXWgtYovnZAdO+AxjW2rRl6k3po3jbVTF7HHl9MnRHXS1hVPILCgzDqHmLB
4UBqYRX7jVRSKIP/laKyP/mt6H07WQgta0qoV7yd/ZE5d+UqqCfT+a2fJd/C7J8H8f4x/lRXCNun
Y+I4EO3fzSrnrhrdxZruiqHeIxO2SzxBOfid+bhakfH+4gnwv13Pt3mQ+/+CIHg3Z+FCNuJGtrn7
dewteaGqxMZuze8TPWAU+n8bH5A/ShnGhycHwpn34UDMkDBhXVYcN3sWTJK8P42wbtgXOIDsB8af
L7j3cf5/2xp8FqYUC3UnpdC2/Zevw7xuS6k3v74IO0vXfhq2bSheAs2G+dsW/PelkHdjM4KWfJfH
vB9bm7ntamCaXbylIhOUYmLN4qqWlz+P6l1vjU+HoYEzjLv7PsfIid+tk84eC/SbMv5mo/P777Zy
g3pPFXHP28vJOdot5ezW0y7kad3Q6UgaUtEhHQWsz6dqtgmCf7mvN4rIPyYcDJMpwALI/UkYQB/1
eyCybfpFYVkMZ725djEcXX/ZWRLGRlHY/2fYOhrtUJVzMN84aTHwcYJkhDvmtNdkEVCD8rSvJYjU
jeuBidj3bYZqp79YyVn8/i5bytpZ1hSvs4H0SWEVgsVg5XqdOraNgWae2r0dDO0h0j4Q4I1YnF4E
9/Fbn7EOKJLEB+hljlpu67yA2H0g+QpKB6ymgkJyQQEUlvBgrUqyRH4lTqHFnxVJ/ZbuUDlEHGLB
z/D6VgLVP2cTgbvLkULJuqcn8+RaJNq9G1G/YATHdJP6BSa8E0OzJ5loePdTSdK05bnZWAdC9a2H
scV0DlkNvMID2vqmMsl/oRjFcV4kvxKsn1uIjt/M/GLfsScXoZpAvKh56sA9yqjnknDY9wzGpotS
5mmzoHEvz/QZmqp5EqTjsbgL1jH25GUV2NYOUgwIXt10fasP43kdhDoUtWmBg0GGQrofSVWMUZ+l
uyPlbLeJwurfd+9jFWMFcMwV3j/qk7/G09Z/og+yd9rITWGm3sEQpbnxqZSg4PmBdQ7N4VSgA3aq
tHVIhv+zUhIP0ZUfLLP74vjLOkZ3wHmZ/NjFcVW7x6obLJj+koC2jCmmpvT4j12/8mwhCLqbXrHx
ATGZUlJGx4/S1Vuz+aaOh3HAoK6p5pIqP440/dqywFXCs5txfg2wtluLQ+ZRCHRJi2pHf+5AhCwD
VzrYW4G/YqSiT58HN1HLeVKduqLZKaO/8j8A+T1/xVhtPwzflkbzM0vtQiyAyPRjmDqwRZH+tw4R
Nu9DbgNqOTzp2oLQyuHSR4+yi63m1JY+HPIiz+dHfy396rCWcwY1fxIXpS029AjLdAHC0j+EOnDh
EfvFXViOjQ2WPelPGYv6wst9xPLsvuK10rL5nNtlf4BxjA44asR4pggH6nI7/xqh1Utfsx27WQY3
uHzIQ+gVBU/XtvSpChfvWPWl+bBVzWgfWbnjEVsc0bBig/ZbIc2j63jyWntWft1Ow3j0B6BxCDL5
xdSb+FDEc/QxlIWCbyDL7+iMs0NTSAwyva47+FmsrnDJaE/Y1tGd7qTv8dHR2qVe1YWnmY+8jKgT
X/XSmzN8jOy7iuvmXC9Og0djXPmnorL7R+nRM0gaoKMhsUSfP83LFn1trA5liTDtpzlyy6ONHOUK
nWNRJr1liRsP+PCESKr7MVRh9hFQs4RHNYr4u0MLijrLkc7DhCtoeZJrZx2doR0fhskDCCEUHIZ1
MVdi0Gud+O0cpVmI8j76XE5uvF7CjDDfBternGNv5Ej5VbbFmkzCj35Eo4+ex8osfdXG0CQOnjNW
H5dJ1NRvLSaPA2r6NIuK/qtdDWi1UGVeD4Gzr9DM33u7+TRj6GOWWzusp0tQeeuqrEXhHiKi33dn
RgOfbFvkFJTz0voySzX/UJa1pG7pbF+HoeoxQc0ktMZtG1i5RSNx43B6bQ5ym9G/BCZXeCI6srxb
HdQrK6UeuiHRiCu+N6KRV2i09MmVxr32G5RYINDP/rx+s02W3XkO22cazHgA8rTLJF9Q9Rz8tRdH
Lxy7O4k3wpcVP6dTZdN2z1GC1HAzsA4scx83RyO8r3TM+0S4TXfuATAS127Hj4vT1R+HYh0RwY5j
/qSKVX3WC+5GiVrMkmaOllVScX90giOwQDbeslPBl2i+j92haFJMbauvVSu3hOZT+8z3B6hEysn5
iCgvupSujhCM21i+lR3mMFGw3FT0ISbaIcgAAKPGJDMWFP7c5DdBZPWYijl1/FVbJFuHiLyxwpR4
UPfBHODN6aogSONyCy9Gpy/u4Q/BOZkL/eSiTTlPZnHOlZyCr1pkTzP1+9OG0W50VtJbcdNt8x8r
E3IuxtCYI+np+jjq2EeC4Ck6yXU+JnYxTZdBXMuzIj92kjwc4qe4G+NXgSDjU6Wz/hVK/fbDsMAP
U9i7kLUrgfwhcA9qQYtG3mslWC9MN5Ye6pfNxmFRNE4GYwyY+65YbY+zbCEi2VUZgVP5dXAR0jBK
5dBV59o3+gnOmeD+J/fKsTukO4EYvoAXqvu4w2TKWZv4sW31dp0PlTouISGX8hyVZefZ45U23nzf
QYv/pPG2+SbqieDgqnW683CrOsLpnD84YjTXiw5nGP6L6MGTou6cBS3+iwq9XwIcgxGipbObLCv0
x82NiqcISOeL2qLxEwd+fsFmC2+h4o9wq4LyhBWcf0PnHZfRscUXMdrQ/bHedXfacqu/r2kN3OcL
GuwUxop90jP2wnI0HroSf9tudOyZawhUNahF23/KxRa3xGzUdiKscdakF5lOcvM+RFMu6Bho67uV
QcPHI8T3tjLGiWshBz+EBqg9uql9MYXj0eYLrpoRnzqZ3SD0ze9Bf5o7y1u752bUX/kbjI7H0nke
WjKYyoTV3RJX0EJ96ZRXcS/dF2NlZk4bHHFvoSCZp9KdJnUu3EZ4aVw44bWX9To6xXbboV4uInmg
v+xhh0sfHg0UAtWk2sZ4SlqRdXe9BQ/herVUyFwH9jzqGxVPNKCcRWPOgMld+0EsnvUx7OJSpgEm
YygmYqkfqt0980grei2u27Luy4OlOx+mZpY51jmchmF7WKNOm+K8px72IVYLPiM1s9bPeX1VgxXo
JnVCMpfUb0023YLiVLs3qpN/msOtX9MeMcENNMLMOcwOKSImaug4n/2SqlQTR7Qc/YDEKe+gO11M
YxBe+SgQuurTJtbMnZIVoWlsrlyCnX0ZeXQqzmqXCh6KafDN45uVDO5DTawTjSquqVPLi5fHEi0H
/h84UX98c4KZKYCrXVyDCcwcV0uXupr+wu1755fKHcuUL32rr0ZrXYbqQ7NaQbwJpr+zl/YAftTW
O3tMun77YRy9KhoRPWAujObKDD37IaLtmhosUNqj55imuKkLusZJ2wE/p9u4KKRI7UpDKjRVfdGV
nt8f89mfb+sS+PbwD8dmXA6KEKiu0s5lnWtJm9T44Zr87w7NoVcLIEKwxGf8M/T3KSY1QeG8uue+
zxw0tSh+jJuSwhVWn8IZgCI3o4ULHlbL60MSMxOhxEyJpCNv6HFkXMpvBCEVBUf0K3j2IptZMH9p
EaQjNcQXyfdvHWsKzBNN5ja7qBR2I/k0vWxbkT/lhXzJY+nv/l1z+zjDOTlmUabPNoeHTZAING25
cLtuVre506I0p6nQcSqV3GQSQh+VSdv67aPumuCgdbAmJio94us0tt/GPNtOYb/LbfIlu6XzGdmp
swyzOmwcNt59PBTiMYTYpA/lBAbFemDB4Cxczt+dXtYfJb460XEIw/xm6Lv+0ahhzI9myafsEjQ7
DxOrXeLLtq/UATVNc6pV5lMd284xHov+us5869atF+/alTRT8ZamqR5TFh1cN+ObvUxoztviuru3
C4fwwY4nNRylE/R38BpnKJV6zpJ4mO0FE5y8Sr1gmGQSOwi90h6iprlEAJTjrwj4/rjhuvg9ox+v
zhV9P0wQtI10bK31Hac8h38Z1M2hrMgvuIXsgVOnPBm+MSA1nSyeqzJ3XkAEEbzVTnzu7bg9hTKs
7q3K1unUBsVnG0k8wk+AXgq3U+hm1Zd+dsc+8UXffxF2pq+MK7IlyfRS4fQNaHuVSZdB5zbIe7lM
KUW4+FBRllxNs1N+qwsRvtRZ7nyuHTHfTHSUD75U/aUAyn6mKeDWe0xbJO41troNskyQtxIc90Xo
ffPqvUhfu3Y/tRd3eO0nHOyPTVDSoAXk7vHm9buyTweNiQs9sK0HxAznyklFQxxJAqus/NtGDu4r
QvWxTlzs+bukajCfSGs+NwWWY00Uq/Qv28C44YESfmo0uRYKsFb24/9IqrYiraUQ9gsH76yT2Irm
6cIa6+Awysq6KJXvPu18BszOp9okeAjKD76/VK9miiTHA5XnqTcZLK0+88UNLUV9LbG3bxKdk9Lc
LIORr7WLzjQdgD8RlU/N8m0cV/YKm5I6zUjQ1e8T3bQpoVM4HbtqEleA5zlULvyrSeZDf/rhQW3N
Tm1YjNfeSv2WWKQj46HJlOUfLdXCRba3yX8eh6b5EsppSetBDIfGtpR9Z+bQeaTrF8WwlcjhkmCc
i+Y8k1RdEf26+biooqhI5WJST9glVn8nitmxUpPtDMG1tX151HJC+QBThkWU4kFdVF49nXKoJAoN
Inb5JGmo0ChjpxQpXumSU4su2z53A19f8MHtnXk4UFVk9ZCwePtNptoxebOeUa3iF/QhMLiGJ7Wj
SvG1gc5qdelkRUuVnWjk1Yt9W+ML3Mcp1fbiycQg/h5MiiGx7a+Hgr5ahKkXLHNvPXTTmrX19Roh
8LTTwVCAyfsG8/RAJAv089ictJGq/Jzntdfnh5mtQnsHlZDodDItqg/GU06u1l2awiDOHNSwTP6x
gJfVdkdf0QN8RDhHT+iMK1E5dge9enyTwH1lZM1z8PCWLE0Fw5reBNJXzfB/tFYc2szjUHXrAa/p
xf/sa98tHt9AZEvujRBcLXbI1nWyRV5j5LBTCuAx7P0Z9uEWfs+9zF6CM3zvjf2mnCEuvxg5F1aB
OBgAzqKyzao54IggHI/PBm9NFd2MJJTLnV3F9oo1Uz4YVZ83um48LY68qq9eRWQ6fLf9ZjRrdy0M
w0Mr2MP+GFLIOGhiHxGIyjI4BhBo0YLbxqi1hx+F0wOfKfhmjBPm53zTAPTB/lDDjrp1IZmRusuY
iLnGJUlU5J3LMWzXVYIOTyC8ZQrVyzSzd8w7PN6ao5xhAqFT1F0f3WykftExs5ogozs3ZbE0ieOp
2DuG6ya8M/3I9llGpnmyYP2MidsjisOtjr1zhAXTfre7miwLVn6h62MfYBtzmDT8GdwDXEVTdAvM
+pP9j/VAPt37sHYvwKfLm97ORFq7gbmtnHVFWilaSGRTTINaWkhZ42UOL3FI38JEdHL1kqWb6+6s
Rxt25RLJuUM0NNXf5WbjaZVpD6FnwDlqDqPY1gecAOaFBMFqjmSgVIhZJX3/rANvbA9ZGy2vuGQs
q0ycfFbOQ1SXtX+Yy677pjEe5FtZqonSoNusiWpEV05xJJ3QA99G4NfT99xadsSFjNrt0q0u8hP6
sSmzTsjOI0hDLt53aYbMtj96SFIvnKEPvzQTpmkD/g9u3qcAiqVPhRpi2tpGgY19kO2b8TOUDOgc
iZaw/1K4JmoiQXJc+E6AW3c5lXebeIo8/HahEbgkfJlGeETQ31xZ+dBDsTc+og84f7KFUuKuZjhE
nR/TKrPG4oyeggcT8i0BiYDzd6Fko6rUAJi9bhApWBtZ/NFYCKj51gV5Chy53K887AMmDVF8rOB8
/LAgVQEeVjK/sQjDwwvF5Vx8DKtW71mX+H/snUd33Ua2hf9Lz6GFVAiDN3gAbmS+pBg8wSJFCTmn
An79+3AltyV121p+Y/egV7ctijcUquqcs/e39WTPDcaCyWiL5I0t0ph3xmimp4ochCvkm9F71Gp8
8s60SGR0IbRAsBaJ9OpEnT46Ugy3U5vHvAXsdUytbcjzE2saE0Um3JNG+9AO3LSaDhpNiySY0Ow8
TYaJv1FknbknyCVFNtmK+yaMqm0Pzf/ZajvNc230kXGbLzgHumX28GXN13g99STQh27EbJaXCPfd
ZHTHQwQWh22+XJCpRuEkebkw1JBsUA37dWnP+pbJFfNf1cDwGESjMbL1KvgwCCQAJDh4RtQ1XAqw
cV8ZQz1cRgBpnEAVUW1vEWjUD5O0e9TQfcm7RKVg/2a2MXyMggs4OJf1xtsBIy497tSAnKwsdJHJ
ZE0SEz7ipCjCaJfcLgUdAG+x6traZCPCv8BQi2SzNJKfiQQyP+QsRR2MRv1l6uJyo4ed9KdezC82
u8V4IfuyrQNAHM6pgwY38OuEaCgIErpAhV5dGeC4L5w4z2zkSyHol1YL3QtFifU3sBjZURLucYuG
MPXRpumvuHWGkvmH7c5+Irq0BYloJnMwTHNKbEHr9OFmiBMnZ/9tjfwi1fRZbHtrEo8KiBZ5Tecq
M2gGVMUMX7XQXgBLRDM4Cg3qMcoXdWNj7qYocHXcFk2oihWfkMYPmZDt5HNucqvjfh7ERts46+dm
3UzGRBva0KvwmmgN47lB/QGGe8hfDIINntseBBKBpfQeUXoi4IIxYEL4f4mUSY24W0nFV7h5XLUD
tqOOvstvZTQohzbloQ7aJLNv+qGvjr1o8KCQwHJJX8DeK6HqPNIxTmyWQWS91TqMHmmq3WlsZ6A3
XdXrfjo603pbUwskPSUtHrvrnH1nxKUVLC5YDmIyXLkrhT7mJ1y8SdDS3ApalrrpN4YYNlxfyJ2a
qxjN4qQ9x+Esn13Y4l7dDSqWTpFtCicPvyB3VgNTmP1Hh+v+TjPBSkJTyJ5VfgQCiOSDw4rwjBfI
uZKID3b12PPUOcMrwun+th7UGdZGX6kaz8FCLAZ+f1aDWew4D2BFDE5nBJD5L+iiKZdTo7dPKc2O
wJEUKg3RWoShxFr1qDi5eZ8S0FQAZeJjrOtSY0SHAjQzjE/zQPe/3WQ1/aD2jQMqK8aA2Tzuqmcq
2qqoT63ZVaa46dO4YZfviOZFM9U2+LIRL0hgmg2zBgah1Y05I/GZQe3iIdEDo1JlHx/UIS7S5YDA
fO4/homcxCdBPku2Tyun6E0/NFu1VwJnFDCG2LwyVDbM2tBtpK6WWGqAIFBbuDY66pz4bWa1qjwM
s6SL6YHTFFvTLCfnN6ssezaVps5ymbOPiVgVAfc89BOBMltRhNDGRPuFTJprPGqvGY82Dw3yehMO
zhjX1WeVlCK7CxiWIyDcdPU0ZzGT1CTKUDHVUbiK21mDYBV2EfQYtbkbDYfUmm1iSKttHyvgJ2Ma
MCB2qPuwMgGlvE7TqhuqgLQVcGUbtTaGrnkbsmXUZo+/pU5mfwKhxQm41DE7wz7EvpmCoVHm9Z2Y
VqS6+S4GDGU3T4MSLbrwktDJ+Hdo9G1LXih9R8F8kc5dmFsk6LiOPW7/ejz344ScqSFIMJXR4erk
ZQC7Gv6/FwnQKnN6FffC56Kq14HG+FXjYoiyZVDe2bE5IEkbValgwEhSRnS/eAE/jpvXF4BQAPMu
iGWmhAyFfnwBiZjxRkHTec++voDiq/KkyNycFadUzMW+Tkr/oTn8Kj8Qixu2pT/nOfyRLP8dyuHr
D32DOcBlcASdx+/i/n7PD7TdD7al6kxS4CoiL/o+P1DAxQSiyfTN1lb9i/5voMMazspkeHUYqVA2
jb+XH/jjWhLcNHiobUCbXIChaf8sXdBGqxlVNaoOVOqoFLMyEjdGO9XX2Cn+ZiDF+XchLSFEhDwW
dBk/rduRNC4GrFp5sDkUr5eRsJR0MNzHmU/gsmmWXxHC17/vuyH6+vtwTuO642nV/9Ph3SpALGpH
5fcVa3zapOJwJ2EN5GIvSVDA3AvqmOuohi0k0R++Wwe3X3/N94jPH3eJ8wcrVOQLEOQxI/+HBaxR
1E5WyFgPS9v370Ve0FXOuYddztoiT2RnuWCK1F+95VWx8NNbFnxaKLdAPyCvZ9l8vzf1XZ+2k2MX
h7bQ5G2Wx/07+gWgN+7KRP77FHZkVxqLlF+3Yi9gkvwkoUjXGbHOkH0fK2F1YcNZC+a4dzn3DfL7
wtF6+euP9ee8S5K6yc60SIxchVpE7vy0+86dpi5RuE5sK9lk3mCF4K+WhSQMLsq4QX3KBo27FjmX
CLe0UzOK8hEinj35MRS7ch3p2Kd+1vWBvqQYGEXVcXdJn1Q+z7rzi1WAGvPnb8QWuKOJ+jT5NnnY
f3q9ZYG3OC36YS9scv0elEIX4UUX5SoC+oq0EJQX2nRkmjXn6ywC3hfP4Hxaw9z2SD8s65h0OE0L
Ol6vEcNRyyPFiLWEvx2DKiPJa8bvRXxEHgKx6MwOK3Q6g3Qo1+CJQe/IY1DahMn4rJN7VQupXXNT
JLtisAnAA7lC+OYaBBmCPcy9BVireHO4tc/4LRY5QihrwGS1hpC3ZKpAekYElrl7WOLKE1kgLmq5
tVo/tGGKp5NbJFTViryyWNM+s0olCCUtSVJ51ZvuaN7Jcp4uSzUGbGcJionRNU3YaOtGAN6R51SO
gOSVqZe3btYwP5RhU78MqU6mQasahxUfDdFrHOsXh9C4W0h5YATcZmH7kjRCNqnWilcmQ/L0FRxe
jCHxgnEvT0qjaA+iH5wAGpx4xW2vl4dyduWLxYV48MnHYsp/jgsczJZ3WmcmPoG84xciIwkfddph
4B2diYCTgc/xTA2nBaA9DES1nUBCuY8TKvFXC0raKYk6d8O4Ddz6XCWA2FwJx8zrcCacvq7VOI0g
l8VGMg1XSSa79zytQP6agjerz/hxd92EfZ6bPbevo2uHSXFAGd0UPdc91xk2PYqEp5g+46NTs58G
PSYouSlmk3Uylpb5WnVO/RJHlNNRU7iX7ty6EKloLHombKuUyrZWfJPB3EXLHRu/TV3J22GA+heM
FrJbukhd/fI17PArpG38mpgZawZNtJThOToH3utE2eI5a+rA+fM3ZS8YLTkmzTWbqtkBDe83sBSu
z3+G6rv0C/D+7BtLvFd4r3ex3Y/BFLnulsY+CzheHw8LG1O9Z8AehhdU3Wrtj92E2KiRjnsC7au1
uL+5pVE95o6aXvfML6FfOgW2ifuarCoqtbCS4bilUz57oaHwAyAgNfUwab1N5i2WRyB/HWNAZTer
+KSDBhhAeKI2ELkXMzKpvTLGknypo5d+wXEwvY9M8EZ/Ig0huZ1mRZ+eOj7+GIBcOe46Hau2t6hZ
5SnopBjMoF7GOyr4nLuH2ghjXCMz9ULpzph8cx/bujxgZDG3dNmMa4HgyB/HaR+6s7zoo0o+WLh9
zskyfO3KDFYPkCIXTe25U/UmqDF8ej385RvFivvTFDdgavtwFL/1mBNM1lc3wVByE3kxIsHam04V
FR6NwIpJR7VcO+0QvXOR164tKsZjmcTWda2WLkjqxZwvtXIqiEiVCm0e0vqSXVkv/bubUAIFDKWi
JGBxu0czxBsL6n1EkQb/OHw0SryQgaaYHyGrKD58iNdSY8Ka5igM9w1eDfJw7TWiko4mz/2cie49
1vg/HvuyPHHMsZZ1wi6TvaWEnNJLS6Bt1xMYp/XuYzHHtGLtaIXBi3GUp3McmqTDfV2bWv0yd2td
gP/6VYLwe0yFxYZZ6dlDSkf3KW2xYyPlJ5sVqzT5WIgfD07tMk5xyTwOOEarB4sKf0lSogh5G9GW
WENHHCGAqu7T0tXab0WrKMth4cbvHAwqb4P4ybqTW4OWXXa0dMN4W6JRWBs63cc/ptBtl8YkQrgP
dhw3/59JNAZY+x4JZWYzKpsOwhiUMTDoJ/4wki718kYyahq2+ABAcPw4mzZnvWFilpvi22y6tBXz
jQE+f77mxGo/YpTUweY6U0LSDArwars4JEB4epQNJi2qTLks8mTgoyvC2lvQHz7PtlPtE7N0buzY
UIOUp2qH6qfN/Jn2zwt+X+4idS+cSwNUJxEZI18rPktSfnPaChsmwFFLUnE3HwDxOddIADkWmOhR
uOYWlMCcgGhxjuPJrIVF0wyslA6SY4Agf11KQ1TGQRRX2jXoEvbSxsJhQhIUf8/IsHhn9bF72U18
NX4OL4CuF1lNi3dOeUtqk38QZ2vCnTQi99LKa0SMkQ68Omd+t59BkBM/TFQluSDCci7RMgDDQcQH
M5fDpPAB2ctb6n+eJTE1+c6eOcfJDE92RriYr8ucsuGft0A7Hhis4OdYl/6kEpEFsIymG01/83Ia
BhWGp4Aw2PZK914aTKU9zWg5+fWlITc553zsqDxh/Z3TJ/CjQpjMUUJxY5gpUXZfX9bXeIwmTrlJ
hMqav2Ij/bpocuKBxhnIeT9y9y1oMm60JQciqU+6RcznMBemvMJUR0CK2rrVy6Q3dXyjizWIKCnW
aKdpXINAyjaZ7ZNJR7fjtLCwqBVYRqMmo/PgqCMW0EiaxPZliFV8Rm/zPZFG4sWKNTbWuVXSy6lu
JYrN/6pGMEE+AsuEMXCfV4p6rIdY+QJOwUUDMoEK5jVzyznjT3U5ceo5ectJ3ri99kAXjuMpaiX4
3pZx+8IrSdZPlI4Q2jYxc6wPtQNgvmjZqu7D9RtNU8RSyzknJ0cfcI3VlKqh1xcVTYXoIPJvckeE
6qOmzLS0+Jy4Wt7T3lCG+9HC2lT7yRRHsXPKM3ywHFU1egSazlEzA/fNEiXSmL5zW452sHmA26LO
PBFFLDYJKqDMD0ngDTDMMCi00AIwXeIOYuvksWW0aa+ZVoxQ9GNQXai1AgmK4pinS33F19+cKoed
JRtj5VkqbnJUGLojHIs5egB57CPd0tBokMOdD5PgfTRWUKo01VXbZQDZhT4q67vIYUsnOWjYamoE
oBu6jNdK2RwqbKlwRXLtVCLQrDyuIa1H9z7BlMqNpLeK7Av2T7F1xircu6Rh05FuRsbrFVRmdoUv
Zdt8UfL5xpXmdGBdczFAWXDj9rV6I4p5DEa18K1uLvZyEEiRGZfeSwY525RDNEibmJkmPhRkTuaV
1Ifyjm+bc7mU+ZGTr9iZZHYxcDB63ymsTeTmVwMZDp7BR3WjznX0kaCS4aWtdOO6GouVnx2pXCBl
s8vdHA/gSDtZO3Hzo1tNA/aLIPnraDBESBK64y5hRF5JUzl09kq6fBYNaV3XJn0oIGYCHRr2DDXH
izUDp/cVTuDOm4dx3UFiaMaoAgd2Q7DdF0OjKwckLk191WU5i7SI2W0Sq2VFLmPIdx/KPO5u5wwk
nT+uUYZ/XUatVccPdaJDHWXjj7DJPUAx/JNjYUGE6XLi1ftanC/9I01Kr11zsv/69/xH9UN+2oow
0wRlP8L+n8pD9Jv9kFZ9vc9LZvveYNvaQ9Ot3GwTRfmFtQ6cj+ft8K9/73+U/vxeFIICMwY9SyrF
H+tgSvLcSCtZ72WaW6+9Auuj6CQY5wkIHVFLRTmfLCtmL27G9Zb717/9Rw8VtT//cRH1YyOyeBE/
+wrmLqV7gmxkD0gB7jPiKf0BoF51kdpr8G0f1fy3WreUJevNG8IRm/v5JfzTsftFx46ohrUH8ecd
u/3r9Jok//qWi3N4/59/ffuR33NshPmBjFl8Fwb+IU1YtFCmz13/P//CMKt+oFsHz0dzTMEfoTX4
jb6q6x90g4mdS8/HpKHnsCRwWfQxfz0AVnx7joomYfV5/b0cm5/CHtZAFeJcuVvwzCLfpMf148pW
LTfHlxrp911XMzOvCdJABa3xOv0lp8Krzai9AxjZfqrtTAcGkykn3W3mXWkS1+3nGKHBdkir9NiS
JgCrGpwHpd5gMKlfOhXFpI/CBpi+MsLPSlEDk7qOmuVQxRKAMe02FFFcwnQ4lrexW05ImLJ5B9ov
O630dyKy7M6LUSx/ZohNcHtsTuaNQpPiRlJ3UVF1/fTqRvX8ytBkTta9kUi3GCMTkOKsRSNGb2Rl
PNRvgx6nr300zbcQnzUoGOn8MrcLDtw6ymzfmJf+89hGmqfXuXmIdFW7i2LrDmA6+3WVd/pHzNNL
9ou982w7/GPzPH8FOEBtvlVsQ8wAWAbfN9mKxTRTheTj+6UFwM3lW6zaOu4ebiUVWFvoD2wo04V7
W9m1fllOOm+ttgjl9JNMHXdLnM4brMjVwV2G8WoJMRzog1m9k+ynPEF36U7xrMiNSNL0ahA9qnMn
7vNHQM7OLorbejt0TJgcp/3Y54bYcwm8xASsP+ixvoOV/542VvP23UPyX9qZ7o87OW8aX+i6gPGd
MfJgj/vxTdd4lKJQJS+A+134oq3ffgTS5pneF90aW20PQ2q0BwaB/caMSyTkjK2WbWekyxXyPvWt
ztb4MldM8iYqzewIrFLchzP/qzF0/TPAG+0iopS+iQdLuzSiRt4yOnoEqafvXDAwjxkpcz6aOXWf
lFO5i5VW2WUjEsyZ+/VmUQvWtNGr44W6GO+lNVxOra7t+yEUe3CmaEgwlQSJnLONFBMIltqNtyJB
WO2mR9Ospk9JXBFI1hvTp7oNDdqHXN3bXgO0EMfIacZhC7lXnngos2t7VHiYuizZZ8Y7c++09ayw
tYi/SxdMIGZUEEfryCFIcGh4lZ26O3VpQUYmdJ/ssqQFXPIteZAh0qsiNprL2cn1J2by9WfS7gus
G9N62RdIKPZysTUsMl23J6owucj7Xr060/idUhuvANyvAhljoP/XxEu6n9uYmdliRvpJSXp5g/uB
D1RPEIsszsKhtD6bSrbcFePUPYGPad5cqpBL00TMqRKs+gtL8U97Fv1heLfMzAwD0g3f5Rld9Z2n
WEegGUa0Hk5xry53vTuUO0Xr8sdZMmNo7cH1wV2xdtpq+TTpzuLjMapn35zm+D2lIXVdk7h3bHq1
ebIbE81AnKs7Mj2epWtmK8yk+AjxwoXD19KyQWlX7qgCtMsK9bqn9qRZdCJClkn1f5Jqm8FFoA9G
p1iZr8w4THy2q3kLxI+ecI2x+NiKutc2old0LuVDw9/JiPq6zarl7rxs67Rx/SSxZrIXhXap1VX4
paL/9OwoRffkplr3VDLruE66pE0REHDLCdCgJW+lmu2aqlUIV5TuEHvGMFg7XPtoaRDIOzeO2lTz
5q8fXf2/mIzXARTZa3iaBVOBHx9d2gKQwUA+nPS2tpSg12yqgLZR7lMaWletliIJtZpOeUjnZIxR
btZufSXbMpY77C8cLwbP4IAWswmPDnaC12y0sIe5DcEFPuKI8KU1Z94MHWjt0CSDsv37bwAdKi/L
0jmX9Z+zT8slgxNFktIpt5Z+I1NNXjd1FG0bK0T62ZXsMyHz+Fuhr5fMMhbKxgLJ9qoi0bjQJiv8
wrNnsDHPZIFKW8OWJbMjjK0hBHvohA+wmCny4jLKna/3sD9lgZ/P4z8Oi3XtM18zbWYAOjlj5s+v
fSIDoF3MSZxAVIrSm7ou/MJqpoRouzZ/xKu4XKWykze5PZa7vkAw6+lladGLSsZjVTiE9qI3OeRi
ag9w9JQH6ix3B1UL5XvbDOXN4nTJpY3I/HbCeaF7eAO7LwizYVG6ifkGaWU4qJiXRj9rFpq74DRK
DAN269dkiHoSZb3XD0P4pMfgxRRHcY7EVehIv21rm3dGtK1hrr+0VkmOwoTWmuZlCz7KLh2/13X5
WYs69iu9MEle6Gpd21DvulujyoCZtXtU3WUDFbOuDyDQw5fS5lHnTiBvz49eiMb7vQ1RSBPywz9E
VBoeF5SVJwIpIcQX2C59V2/id7XuFgxOcfjCykM7mxfrDrJ+NHhxjvCklitThT/kmTh3TzCWELfo
Rfagon6h3d1YybNdpJ8MJCWHJorlIZuQQLatPqI5yvXLGFxXAOJIXqfawlny14uYSyKP2Q8rwQVS
pmKtZ89er4M/XRvYq4uhy8bmFOd0nv2ZjHXJxIe9OQfciZEDMi7VCW8gRo2/5SpWv1p6v9wtGnsS
2PruEGMcIUQ0zY8N/TJoYoWa4PBAqlp4UVRuezCYPK6arb6tLaWPbP/9mz6Z4+chsU0lwARd2AEp
EBVdXK5jV2PZi01hqzPrwCxxIeaIrvItfqUKzsNSDHsHyWEwL6DipFl8lFOFw8eGOAZFWU92bmMp
d3AgZ1rBgzq8N4JjhfUVB23VVHupLRhDeWr3dp6sV871e62npH/qZLYXSjbOgdSTZeMa85NGxx2h
jIMQSZ0xTKKELHduZLJYU70zfbIJ7E/w1Quk9GN2rLRU3UNeJrPHMpZmtzR6XF3pEsmIXw8ZCvrR
SB47JcVxsNST4WD/LdInlG0uzZ+swWIec2+RPjxbmQFZr+N3lLzaSSEckgsO9dpRdSRHVVfgZkAp
HhEKO/SbXsaFytvN2PLyquOD6iZsN/DCBh6DOdaX0HcsupkBranyIYIsSIvZ5NRZtNR4iw3yU/1I
s+oMtUq/Xn/c+Q5GWaVsFnwzb0Vesa/2TcEoFXCq6ivEsl5GYsqOMwvB8eC9VBeYmOLKZxhsPJOL
kuDPVYflDgYjAkC67PLUcrfcE/HlMlbsluWLbmXOwRkWZZMPiP48/Hwo0dR2mTbmSNAamQFJ7Ftw
c9FYEdlLcjO3TOwXbdC7xP7giQrVgByS/AsA3RP4UiZ4gmsrjSrQkH4+ZcW1jVryVi8YtnIYuHwy
7rzcnR+kfyrbX1W27ppZ+ueF7f/Cta7K1x8q2/OP/F7Yqu4H1QQagXLJgAe8nkS/F7ZktyJRsFRx
LlDVteb9Vtga9gfu+yqo3jWClX/Da/hW2BraB7JGYPnbBDsiR3H+TrAIt8CftkfXoSFFojuJkRov
7+dWUdHYHZuCNUEFrDHWs0CnvshLD5VHpZLSNDpgttPG7pdhl4G9K9QnBn/IyDKiproHjp+eanNV
bOmbvMWlPaU+R2pTO/dsPUTzwHBPy0QjfWpir9uaoOILNOruvE+VaVJQPQPVKcYDovWio3W3ICft
66synxkAjWPioNB16pLxQyqPlVKM6iFdr4CzGYYPqdEQY61Yz0zJxt1UjfZKK4UoKtL6Mi0YMBWp
HDTu82tRbiVL6Sd0sNe8sTWcCxixu2EEyEgtbxfG51bOUHXBc/DK8YXOvOy78Yr4AZpXetxPq3Zh
zTJyaWDmbOVjvpMjFOuAMMzkQPpUY1+7bj+mfjeryQ6rMjpTq577Xd9m48DYB2RqXJjZvg7baZsu
rc0MRCn5i1Exh2yKYzjS7A/Ll36atdNEIsi4q/oUymfXjbSB8alJv4s4OLqsaINUNOMzcLb5MVwq
2/LbqKnlgcEbW2vYCt4o/oZBfyYBooEvquWMSa0Wx13GuR/VjeZ1WnvJxqatfnnwByqIBmLlskkc
kHjYj25K9JHer4mEyTmdMO5a+AUjSz2AGD2rdw1JhjobXrEz1nhD65x0OKZrLX7OPxTnLEQCKshF
VAeEjjXpiHtYVXGAhYwERX0NU5zWWEUuECQsztjb+aCjuhY+5cr0hfm7+roILdpmgqdxm4VJuwG8
NZPQTbrK1m0L4hxpO95rZRtfQG/Nnyt4GF6ojtrk10rUgxwmoirQW/sGWhxagjU0EpMniEwUj2RJ
qudcySjKm+08UrTEduveSEEAZbNGUQ5rKCWaC2mTXkxUJSBjxigiHvJ3lYi/A7gk/dAX2OGJFwp/
42nAbA0U1X0Li5EkTManY7aL+kZ/CJndHaa2sLe4rMjPdMuwu0eY/UmlQgzGNWaT8Im5YFxO+Cat
DANxDdJL14/WeM7Cys1jtkZ2AgrSd0wZrNAT3aJpgVjjPbtz0mdH5icIgva6cdTlLe+LMAAFOT8O
SV3sw3NeqKKoZIfWa4zouAaKzpUsrxsBRdXrz4mj+piEvsCCF2hxWH20oqb3JsVFuoG146lvVr88
4u78lJnEmXYL7m0Mh7u+gpHS2qE5eED61DsRN0R5nlNRK7Lrwf3TnQ0vztYWuiz1DZFd7pbknPwz
WV3zoXHJAZEryWdkCumVYf8pJceQSMNp8gXGxv0KasX5pr/KaX4CFSj8MotcGbijbrcUpgbMlRz6
fAPWwbqdOhyv/FpIgcPcfr1e/nMq/uJUhMujc5D9+bF4+7ksuY1i30x+OBu//eDvKk3zA8IN8vHW
vh5H0NrT+3Y4OiqRWyRcrEQwyxWQEv99OJp0fYnmoCNGdeqiofyj62ug7dSoN1dUEyInE53a7wnt
37ptX2Poo8/Vf+m+fR3IfFc8IHvjSDRsDQUZtSRwpB9reKwD3VLU6oyMrMzwNKxmFDxdk3Gtr+lv
G2juXMyLImmL7dRbjeuhyqPOcipN3RIBzWFI00RxfXpFuYAiIiyFnZv8ztb9hNo+vJksi8yTWUOp
n6BtApqFrpUmXtehqCLJa8EzjQfcQAqxsZe5puUUM90AG0TYsKLp1WPbze1xZkp3Tf8cs4SyLB9D
XTGoyDBwblpXrdNNDLPhHhG5LPdq46Lw0aRqv9I5tkrkABV+xcoyrInxiJsxT5PsF3G5T+wl+axo
WvRposK7QlNvP8O/SIfAZT56GRd5mHLt7divid1G/zzQIt8AzRO36O/yi9Fw05ukivsrWl7KTgvT
BZtUCBul6ke5QasOXcKO0nHdZyJfSg5ChXael5OmKj34Aao35sL46LR8zJoCa8tj61aPpRUNG5Tn
5l7XVxAv8B7PTEwNbKZb3IKdtnCYLMWduuQVLkKnJRjYQe82qll5FLZeox6gXsimmG2YmRIoHqe4
KkkVhkpsWxOY9qxeSI0V6hOqmv5yqMxnuln9vdZ1pbNzWhIdA4JoIoaI8EN3eO6MR5ln+hZJnbMr
6ijFlbKE4RU+gySYDTXzi4paWYixO9kWE+ONdR5zrgNPgtbLjckM1B5vaSYgfJnMZmcyJTWHYTXu
rqNTTemGF4xU0ce2MOTN2K2wJuatoNGJFziPYNdhLHys/OiuA1q3Tss7sQ5tM1N/QioGTH4d6M7r
aLdch7zzOu61FFHsJybAaqX1fpal6Slcx8PDOigO15FxZFW7LDWcTWGyB8eDWgVcNwrayuvEOYVB
saUZmH1xp+kTXiFlW50H1TTPtROLnENpnWNzRhXekrvGhlp9CjJiDAKrFHcVqw1AgnuBRZAgqHU6
jmrteQEg5C3r1Dxe5+dinaRjaIJ5ODBd1wZIERzqyjP8NPIx1ym8yOuaayGTedvpmiBdp/Wtht06
P0/wx4Z1cx7rQ1LWdzUQHm9A5RSkZwEAflGx4cYtT/OqDxijBC/rzjKLGeWAE+Yy2XauNqEpENpi
ojBIv+oNpq/qgxkoExAhNCvwjjjN0CiIJou1R81kLWxUkSYX+Ebsu94hwPlJmguze7CbubEt3VV9
iF175veP0GYJin9ykQRCt0TVN/q0xWn9oJJUBL1XAvQOU6VzTcurhdNapupCtd5WSjvek75qTvcY
QgbuJ1GkIGzLUHylLxiK26UMqKdL7pyxWCFZNcyGYOwgHQcssyh6Icsvyv001hK+H6UqmMJP1Qxu
GS9UFKMnlaukYgJHFuRp6TgbhAtk1O7BXJkvQ1VO/Sc7c7XMQiq2uIh889UlhaEXFSsnedaTSV4C
tDnAOiLQyotVBH4PZTZAK1SZR5BT3Ld6yIOlya/t2H9O6l+c1HT//7qAffgsX7vvy9dvP/HtiHaN
D/BPSdbSXAsLDGP9fx/Rmmp94I6J0N/RkL1yfP/7iDYs3BIE3AEUNFczwDrX+la/6uKDg2Kdo5km
7bm4/TtHtEZ23I8VLC1eYTLftVF7U53wu348o3FuKWNTVShLGwxoo2LaXpfPn84mNEg5zSZm6uHJ
ospO9uRcMcAdn60xbe7rCuSu2nbHYQav0oDYYLPGnjaH4KJ3Y5XGtEUb5RX5BHERlMMNGs6QK7sQ
ekS2rA0U+c40E8piTymhJh8WrSX22jXBD32EQKEjlGTgU5FanPXsTU7NBgBfZcQJK73M5bpsEimW
peZ2WSIVz3w9tW3zkWCTngcGiluuUXVICzCUHrr9xo5Vs9vGuanXx96MEtrOKfR/dSU1zrOLQAzM
09GuZv3RnKMOof5Sacw/ezOUHFq6PYsD5wkBj4DOEzt9CGeF4HSOcBqkAaLb6jUtQ1IarZR43UXv
ZNesZZI6WjSqyFe/x/eX1tAfcrPbgajFKArLrfMHy40vQhq4yHN7mxzSUU3TEVpsOjuBU6X7IqrQ
M5dJj0qNlAxqf+lsJpw2LzOuO88xonjP2OY+ysFQENKbXjV6We1TfXqE22bs0n7ipkEM3D6bonhB
BBXFT4BXCF6ex+SA/O8KJC5B68Pw1EUFyeT5alKVceSVowuzLrI+9TKcUCpOL0zyOx/PNmlkBnbZ
7FGOPdFArpYeGf6/RUnVbowwG+4XZ+g85unFbuAjVQwCRYRdk1htc29w9HIHTPI0LskjlzQmUUl/
sXQVQRFZdL3Eje2TA/xSFd2xGKtyn5GFF9iJEciFMW3H7ksRRDwScO9bkEuVl+nZYw1OJgCzVIGP
GT9bSWldFdYS3k5uhfkAc5vnMjPwOiMMQNVnO3M0NU8uNA24ytEuwdIZgcdjiDfGl1it2yunZ+pq
Q1mGdE+6SCkX4aGdiv2la5y3ZNDHXTGK5M2JG3mU7Txv6kYoJzoNJhVs9Dk0wupGKP296BNJpsWc
73D0MO+Bg7cvM8uCSKxanlHNYCBLwbQWJcWBfSHe0uR3t+QhmL6IFXc3WtPnSmQF2TEADUL2Do+b
cIJzXiZvlWFWSDwJXY4ixOOAnbqgotZe50yzLxaFoaw6kgWtdKRC6/JBEyX89Dx7VPLwsCxov4uu
JiyyV57EzL3RAB15jBsBmbw2ky/IBdrfhsX2U6330mwy6T2PDax2ehjYdwGSXFiIVBHh4/gODHNR
vlS9BUxrRGolGCU7ahS06bjMK/NK2euZOpxmbUQRnJtZfYvcqyhxJ0OLrx3dYg6TAFqwQ7vzNSSW
D2AGe79XtSWikVL9H3vntty2sW3RXzk/gFSjcX/lXZREiZIsWX5ByVaEO9AAGtevPwN0chI7eye1
z/OuVKVciSWSINC9eq05x5THsosaDvYWARo0UspsXoXsnl1eo/sM+/6e+DATOTq3RRT0ubnyx3F6
h6gmxDby7OnY6aQ80JiZhmCvubUI+53chZDDuyVLrx30h0lfC0849MmdO3Zd/IEhO+BZG3BtrMhe
UsNJ+k772jrcLRLFSDzvzL4Q13EZFATJ+God14bco1jnk2UDo/kUVAYs7rcUviUK+8jYQvzC+q4Y
9QhVW1tiTfM9pSXTNH/+PJLy8+wlmLzz1HjjkXqRUDLobGQVKkMNPaq2T8Dzsk2TY3YpDdA9rQ+I
SKrkucBtvXTPnORWNlPPoaibrQ1FpHnP2PBTDRWHUKXAWsQ3eXU0A72zPKu/oUOnHmwrMB4RIXpv
EqHuJsoCJH5FwFi4i2IeY1ibjNqqkjjUfBIgdaZqC8EFYz8W3lPewv/i95Q7xK/Tvlme2owkunMx
9xZDT7SrBsnySIX7+zy2iTif2sNgipjwb010bO3P/moK3fIMPvq17CrnQLhi8K2R7dkb7XjgDGgB
xvD1Zxf38ioRwthKq7+yc9MH6cp4YaVNpT9CKuktgWHGNaV6jMKzM5GOYtljPE9XCc0ocUEm64E/
nRIg4nezIfrbKaGzU04dMvVylDBa6K31nrz4VqJ9HMCRgKiKMSaFzsokeY91qGEN1rfoQr31bE3M
MNETrAXegiud0bRz4SussEw9dGAuIVsyGauQfQKrqIJDPY57knmCK0wE4briaLny3KD4Nqmq34pF
F9qZhrFRbUZVXlToLANftk9BkgYby+dcXdt5sMHuc8WxEoe5oT7G2vuEK6LazsHQ7USrmMdOAZYc
JCPbuBzjXdcV49HI6vc+m29zHXaE0i0zpwGYAWlG5Z2kMrmhtq22pZjSHeMvcTVjpTsYjkfKkCrJ
vCpJCPEjTpWGz2fushSZfZGx3tUucC6cKyUSaLw0+oskMeKaWQxHj6kkpcYappWaUvOGewC/UGLH
6yHLPjo3D3ajmr8gNlw4FwFrWTo54W1YmSHnz5SlH/jVV+gGDGug4d2HmQzXcW+2p8EGOx4vx31X
RK+V6XyooP6VgTOTQYeCoR/tl4KR17rIWvwLPr9qbuwG3NmoP+APwhZo02xjs4hiBxviezD56TmQ
lboSvpxvcHBxGbzsS1cwUmIxhUxZJf2LP1VsGNp6RFoBJSgaO4QXPuu6m+RfZQmzoGCEf9XZBTlH
vQdSkfjwHWrL4kaactjqicje3pq+tnAFVj3dmdUQ8B4GAD9bQbPhGb/MfJ9ZLYlf5UwPZBV7HXC5
IVO8/V5n6SuPfaZvFyn+U+05/KwFJrLpIIzl47A28iA6d/SC7x06ra9e6j6iQQV/lUenJcrigOUp
sugapijq2pALHSex/Yn52bAeHZfxoPa39hzCma1bD7hE1w8T2GGIE4nbE9kVVfLdYTTroGrK4F8p
s7rrzVkfBCfQgzc6/pcha8VrJ8ZvgOH13SwsI932fdwfUqUtZNRuj5IfZB4rq9I9veGJ+XkfMKBc
kPJKFA811vKHAT6MgOXUG5QYksapY7f5R9tYPsibNo34TlHYVpBiGnevlOnwyJSuJp+iRba2hiyG
8iqyHjHtg2vS4oZRUfq5xSb6tYzqYz7E4bxJqzha15H1jnkDFBs2229mlCJ/4eAaICyk03SlhgoF
QpLFdHNGZxq/idzPN6rq2keYNPVVyOJ5ywE73wele89k/jqsPO2hFZfVeDCNOeV2dnvvPYw8XGOy
9RCUO8mLoxr71iSBYtMUQ46ajjg8RWgS3IzaI/1XW9VDY9lNAoRPtKcxkz4alrBCkq9VF23mxgfZ
04/tdFf6Sb4n74hcQG/QO5QqqCB5X0xTXGOfOmlY7GtG3C+sZtkLW1z3mZm+eMxSHR5E6iVXwmGQ
0YW1e6xL5vWEy0LMgvM/5M+RTNLpmsCygol73BwDQ/JAxGLItirJg6OsOXnH4C2zZUavUKnTGyLG
oznredQvwp+JmlMQzvy2oneRpvrORiX4CX1dk/H8VQxtAGZvssLhqE51NT8HjcZTw/GhHZ4iOp8B
nFwbuPAcKMulW6emfpukPA/X6AIJ3aDr4H4iinp2P0eZkXBW90d2Vkj6AQ9iM2r0RO4YbRlyuyfy
4eLX3htoMFZe95jPJdpNADDGbV6OyWtYOOWuCX0AmMU85lewtDAK+WkE3snODH/VFkPxIsIxPPf8
1cNYsLw2RfA4FNTGbVl3X8uirGjNeOnO1XN0DVAKb3XZMxbQRV88mTFtM7SMcj/gA7yBOcEspdDQ
a6I6Zwoz5+3KaZSzG7C2nTFAQRx05hAed59k2z41u5uinLuVDb/sgJ8yupe49qYH30ub6g64/+hs
AuA2DJzWaGQkxQISr2BqfcBgUqr2nXIz8Tv4LV492I+VjlzozhR4le+BckqDuAhWQzr1oBSBfeJ4
gGqczwpQptXGrKOjn4+UTq510LHrvEg/KbrNPETKO9AOVOZXmtLhRhhpGN0kjCaBuU3AorbSj4YN
IG3sB6ScDqw+uqluem2oQ0fP6GGsEZ4AbTf2MyDPTa8n4wiwSF2RJ5FuOm0lN2iCErjwnfeBHM/+
9h2zhYZJp/uxUE9tRmDgKwPcbl3YwXCrF6WMj77A2bit7/9a+So6uF1BCW7q2FjXhKs/0xwSW0al
s72lN5vtWtnOb4LC+nrA1rzKgbQwXhL7il97vOC7lErU5xjFycMwmM5xVsmwZsKrNk5s0vkxyRPf
ks6hCd6C5iWQvewJjzRR86TVybbrYkPirP2ppYpErzGihizNdBux11Gc19MW2ZDedrl3Zaiy3wCv
7h90lAS7JhPyzbFH+1BkjVqFGSsTcgx/5dE83ieRBcexWtxrSeEueJ54IIfO6Pe5tOG2Ir0VZXPX
805WjYYXpqScDrWZ15RSAI4zjrRYljD0bLlvoKoFo7OtJ5QhqAVzoqvSJN4OALi2Qc42Ti5X9qWl
pl9VgVccjAT9qjGwk5SDW/o4nXS7NoSBUDK1rB3Zp4zqAs+4u3DIQMcdujHLb8esK9dOVFoNFThU
snyK41+BNpHzGSKrJZ4MmC/aExuuD+ddla4n9JXruUFO2mS6Z9MZpjPKzeDUj1EGOD5xD5mbOFuZ
Y5YUbUVjTZj3vk8kWcsMv8JUFb21XpmSQrVwCZVZ+6fMqEmOK0S2NfPQBukYWK8R1PSVNSxm3wIT
+6uh2tca3u8q7v29jVEd6Kjq38lWaw9+IuYrGPg5148eIRZRiFEjir31RAN3RfPe3bhz/gYxI972
fFuo6MbP4B+uia1EwFS/l2n+GU3Rcr/RON52usShO1oWWkHMLznu92OatM4b0KWQyFzhrqmZL/Ib
TCTbxVXWRfZY31RuWnK3tN7eFKjQZWMnNznEwXv6D0CrO3vsfCaZoj+1mno7FT1o6KX9M/qtugrq
Ot/OWOcOEQDUX4eSI1qq0/6AfoFgKqOWZ0bWdARU803Hoz56iItXZAZ7R/pamxj0JdJAF+eaNLKj
9Ir+fOHARUn9lfMapdhUAr2y57S4KjtF1m7Ut9MLEx749f1wawH8e6aUekoM8iW9RnvXsYtvtR5n
CscqvgqHuUbA3xkNvMXuS2DWt4M5Was4lc8IHEBC9jZOZbfx1zjb/Zd4pJtuLSFrgUBjKNFbPyFT
wpM7ZxI6VHxDkPorZLL2MLXxY+OaH2BtqP8gBq/KCEV5XEn8+SaZ5X1pv7cMUjciaqyNMornkTzs
D6WgIu4iom/0iq4HxTcMOmBEbvHgTxpOVhWleN+VH37pRZdh3uz7hgbFNDwQiTBXKzSeSOdpQAw7
p7UxHaRFYXLGGR1S5q3goWTB0itlOZXLxws9wgqaWBs8CcXWFVlzBCy4GoAfjRx1wg1flfJus9RR
dz1yAvgG9KjxZWaJuXIlLspt7+dmu+1ErE4YsPwr/sD/ykr/g5DPBzutWDz8BEu/Eqi6HDZXeKvf
wkx19T4DbrXF9YZKGbYdQ77xSLYYpGRhPjdsSWvkg3Ay5dILVGW0noKOaBLTXWzTULPIK3D20qES
/g7tgyGNlzytuoPX118ifz6O3PAYQZSAUmzcAjaj1smZvyCuOSqz17s/2H6gC8dVHYiWyTaYZCpT
CaSqvmmi/hyk+HGLhDseiNc2GMsz2mxSu4rJA2RNFINn/E7+8+bCuBuk/ZKYdnutQ0NthsYlFC9H
qh0LFW2TqjAxa3E4a5yuhc0SCToXsGxF5rz/QQdMwwG1djV9ySKIhpLMWKJbMSCm2voaOr35OPhO
tnHHaWjWF2ig03r9I2ufXLmuAxFO1N2xqWlGkSa4NkPSjgHDGfRZiAvcNoIwvsAtb22dt+sQDiV0
RELzuq0XmQvIW8TI9dgfTcyNuyyZ1Ftrgtp1fNsqmFPM87eMoei4NqfMeFsiku88kRuHlA2vWZFw
NR58UqtuPMZga+bQKcqTJDo2eMu3FujMr9RZPFqRKt6S1PTvLuDCWcfdNyNxP77DC4PYaI81bejz
PAKNdxLC69Z/AAyljO351Ix+BZjhD4BhoC21mefA3S2DY2/jZrAVlUzKZp0wy90lSsacF0LjRDqn
wxSUzeCQhP3TFDmf/kAa4mHVB56DaXvhGg6B/zz4Lit8XMpHlEhqjdr3zjfb8K0YS5zRRegzUVtA
h/nizbxGcetaNxfaYa17SOZ2oMddtCAPG8RU3dEuWX9WrmZUvP8L/TAjGH1VcrihvBsqVDmML5vn
Rtn1NdBrv4fWgGsHsgE9vkmlIXKV1ITtwajqNCSOIIrcNV1iBbr5pct0/m94iR53T70WatB7kvSS
m1kp1WzYsAgpxl9OxcRgbmVKzeCs0UslxCrz+ieQYtal+qCIm1j9maYYGXm/tn1rfHQ6pWk+iUy5
mEXxritpBM/onaN3J4aDtimjMBoxAU/TwwRVkLx0HrTtd7Si13LwHiVbNCXon/mKjAhIt6Ksn5n6
HRXqI9jN3bCPkrA+o3CSLynRkuPGsZfxZ+OY9y0Zxsz76v53AiNrWXWfwx59+U5hRPzSkZMa+LfN
ZOgXWCHiJIph2ktSdgIOr611bnEcPPxLPqNu/Z5BpEUzFP8AT2lVsqyuCscvJTVjHG+Sv2AarSaI
0hMdftARf8E0NqqASK6bKN2MWXs/R62drtxJye2CLXkSsxcdU5ulsszj6eOCcIRTR6E2uxrSDg2m
UxygGYI1l9QvnetUu8Fg143IqmCzH6oNhx1iTchV2CsD9zrm8eK6QWx11Q9CbxERZjeK2JCWyt4U
N9VcDZ/IMtbjCsxNsYmNAZlyY1/YucZZZbU6OdPgH4rYhKHXz2o/tMJeWyoDt2k0g769QCHp3gK1
JiLzSVDf3SCdHnYdGUUH2pkeXRojfphitAkXPOTILGMdqba47XTwzehNc8viFB7c2CGJeWFFBj2P
hpXKeJvUi2/P9O/L0QUxQl750TW8ecCrlG9szamjo2Jc029ujm0cdLcXhKTvBl9LfzS3fTiJXepP
b9EEFFbaGGVDP6WtaIYFvbJmejYSi7gkzBk44NBvGb7t72O4Nev+D85klZUT6SjIyWJrNDcYhbyV
dipqWVwZr0luT2uOCjO2pdFFhGi23b3vVfSBzSDPN3/CT04xm01KIFhGP6vPbgyv3gwO4xt6rL9x
KM3MRxQJ0wQdOv9dhOfWGqe7AZvVSvbZc9DKz1bEYs3Qd5vY1ryhU/IWlIt5L2LgMTBKB2oCrhIa
RrWTZmYfBhtjeZRC91EcFWwHsUMnZmba850FL5nReP2i2jq9RwpCLAY52HWt9/1s91/+j2xpCWQ4
YqZC/hFvWQRpfR66+txVMidxqfLZ2s3lIBjnxp2PMhyZioyv6lLIG7s33m3D626B/5KfwPoPO3rB
X9qB/VkPTgfLZrzpFcLLJq9f/iu7LnWip38aW7N5Iwb79wKzl7cWQGukq/KH2fX3H/tde226v8Dr
oxXokMFNL4Up9O/aa2n/4llMrxldo63+TXZto9VeYGELU81dtNq8hd/G1rbzi2Oj6w9QoiEKW3wm
/4GyjJf4kykF+zCdAtRtRF4ys5Z/wdTN1Vwjr+kYKPR5Ma/LZOzOpNxpdzUOdfvlTxfmX8jYfnTl
X14sYHxP25AUaT7uMkD/kw8wcsZFCKbtMyn26hXwqXyaIG8/Zwl9NCpnoV4ZPttvQZ82h//HS1uC
Sb/vkkTh/AQiSIzMHDX9hfOMhfK1JOQ22PbTAGDIw276ZLHcMQoVDbSTNlxMRH//8suv/0O+t3xy
VAESBkLgMwjCVf7jJ5dWEpUBEptzXiyYRd/oIT0I3c3qmFTLy41Las3fv+bFUPSXF+VWselHuuZf
4lNLVYZdpAJ5hkwjn0p4SleSGW6985gWP18oPDbJK2AZzK5piUXq9LurkKrnBqLLde3iElKI4sZD
azRRuJ1nCDYuAxOytJyeHJtehbT2sCXAcwCHhMlxZKZu/QNNYbEn/vwxXDCXKD2hSFj2T6wKf/Ct
bvRieTY7qqSsw+o95l027vx2NJ/yZKqu4XO3739/9X60I3z/xpB7ojXxeTD+EgXrGggkRqcxz+nC
KKI/g4reK+MPkY6UWSYMR8dW5okJDiKAC9nj71//rw8mbgjM/hBCA+6bn5+VPgggbpPKdv6Oklse
GA56mK772vwHf67JYvLzFUa/ypPlC14Qr8ePdyd8Y10K0ZlnG+Dzg0E1n+36ZAm3Cy2rfR8zm/ww
4S5Pp4B/pLyBh8VIvfE+zejx/ecf3BI2q6XpOcxJf1okJBkLQY1z89zpmofE9sK8QvhfCGI2yiz4
fzwkHssezyX/eI78SVhrKjTdhtXLMw5xf0O7AirYhYd3oSMy+rVpS7QAk+qEuxz4gnkq+oA0KkZu
xkDLbsaL5UIfixjGRlv6h4QyZLg5LkxFjONYOsop5Smj7B2HY4DULP8Hg+wFKPLTI+JJvj+BxMoK
uGN//ALTPArJAgrMcxgCdN7NHnCny30z6kK9Nk1hrHN/YN2buIAX1lOUzNi32gl3ubpQF5PMBlc1
DzPdFzMU7fuFoPj3X+2/WAUX3RaCK2ACNt7YH9+mwSmgdxkTn53Z44JcLrOpwKCYArwbSKp/urOX
HfSHO3uxNIFjCaivHMRhP79ioSOZimxqzwNMrmtHF85bSNOVf1mQvjphjfeN5dKbD5MQaw36xBiP
LgPex6QjX5EEiEm/W1XPnS5YAYTBQ5AQoEwtxj1xuUQtu4aLInHBihEId32h2eKfQ3pCYXyap666
/vvLyCf4+WPxSfie0YPb6MH/ogaf/Szw6mSKzhV3CTSMacaB4xnpXW3lnNBLpoHDOvUwv2ykAzht
TXZYGO+COKKXmPO7xXrC5b2WqWQuXmhv15PSpg+x23Ym6Q8R/T4jdBjgIapiEC7iwYCdVER6I7yq
alZDNC1QqQAn6EZIwZORgmXcsgW4iogG5lc2VqkzBqr42m+L9EYWfnXq05CS3a8aZNpK5sZnc/Ky
O7Oa8m8ia80NuiXOh3KaCZGZxj5+n5xqco96issNIAMUnIBWCoug1FTd1wIpOZPWANuJXbXAubzY
r1cAxwz13JUElG6s0PMeg6COxapOIzyPeH1raHdO1HBKcIFhrl0t/a+1QRNoXRatzg7zOGtUbl1n
N1cSZJdxFWKdu5FRx/BM9eFRuEHwOA09RjLP7oGtGAPKR/BvunQY6sqMsTjATXXvRUVOyzvA5rwh
NSF4juKObTfjHvFQTEUrt0IpV5MTF20pDYKtZ2roZEXlOG/IYygTSp/VhhKQhbhX+MHaZOLHJo/E
pU1o0V/xoZzTtEe8693QIc46dmaT855i3tEJTx2xh6XTrWtV9Y0xwjLZRVNVxDRsktG/QrcXn0C5
6m8+8in0PQja9wKUBcHeRXRqpN3smoBje41kbhBi/my2fnKUDP824EBIYSC9gA5U3e6xvoc7ToDV
lyJonc+VZTiQ93DUcqOMv0ZdmOoVpuYS4xVfzzoONTrhSDmbwiTIjBurEBagznIckasYxrTyK/1u
1/TgRyeJ1JOB3ya77ku/zexjWeZB8eT1eJQDboB8qjyCMXHOZys92d7SkEJ7HWJ4pUkzSIdhmJ0Y
UFQIeppcMo0zM1CfcZy7Fm83SzltTfVU+DuYzRQ/M8prZu9c6RIGzrWIfIohVnD7rfYHEraZ/mOt
L6Iw/zSSwU7qHZEHJ9p30KR6b0EKcgAFKDlxV65ieNfZjlxlfgfTDvUakAq5RNbNfKnor4y1EA2J
u8HA7VVGjB+wiLNkJzY6A8+f9XqewLiGzjCsokRQr8I5ZTUqQNBeINKDlO17C4Lyyu3A1xk26xAe
aQjMTUwfv+YJ9fGFLGa6CVMVzzJd7mvKuvC5W7hiGVSM66zElViLZT6MBCO40Xqh8bCcoTLJ7aCI
NqYJVGcVzYxiVn1C4SNRCiVIBDiN73yHi9NIdmoorBZ/o4EkcKIfxRKDyMK/iS7sWa8aH7DlsKkn
BivqZY2khvNvSIDkmUjrhkGU377XwXIpgwWr27Ydf7y824IJWsqgwR7vK8pOicUjme5JD+OPWU4b
/q5kZneIot48dTPfSG9TGU5yMJ8QUARbKdPpoSNi5dnKU/mUhhJ+kR4BKF7Ao5Pk2pvFxIfikeSV
MjIL35Gojg/p8icaGuhBo5TqUyy2TD+HmIgnqH1XC0qxDqL6NSX/DPFH0k4Pl0JhzmqAihcEmRyp
79M256uteTMjLKN324I7sU4W8GgFL/wkmJFjWwzFCTJEVt1wG/HdyeXdllXNxtNC173QiUUqKMKr
qg62jpmpV/SV7OZTJqE6hzKgSsctBPmvcpHLwFvjnaODpYKqqgEbZU10JASSBf/MtISAwDnV798P
Pxcg2ZQGDB4AJNrIcVA2QVnFlGDfDngf8No49lvsWU2+Z9vhDSo5pvPKxzyabklNCb/mRsyLl5dH
yAyddNz1Y7OUQew8pGUMZ98eQB0HLd+RCv3F1dm+B6hFm21pO6xt1XJUyeIi2ZuTSWGA2vrK5Zs+
la3lXfFxqmtkK+4DyhPEUgZABHQaXdIchoEdF3UrdTky6JNAaoL2yV5Am+iFIE5AkOpu1RAZMT25
kDOg6ZbctYQO+dYWqhtvJlySngHncs206QdIchPvKc18xnaa8N39d6woI1LnLS4GrulIV5IjwLII
ZLmFayMhpnCdZ0lw406As8hR44Fzl5cvBijQhGBQjqGqe00ZHlwHCzOZcp9QpNDiW01k65OKYy3X
YeAbuoCncZCM9+MUEW1LDMp1JvAlbQEnwKiOwLTeNE3LO7ncifYIfuZ6SFgCHJMafWsiabSoaWuk
4sEYyuHKr5YvKK1tliaSaepD0ZjBc4KchA43x9F2S8OUokj6KBhXcoiKR1DNzpuVpuaTNHzOAPSt
2JrGhZ1vLTg/EBBmv2KdhwKN6k+9YurlQa/NAYz38gnZiaiRCcdEVlfB8b0ceGdCWV9n0+IRjTii
JizdYjVwpH3qav4j3Xy+Fr1UaTMWLaCBCy7vsm1Os+COUrlhXVl+zGefHRXclJJE3bSTICIWLuzl
qjWqx4edDuRbb8hY5aF3+RRZEtpvCsWDtS4X9mKegWQS84Sc2bNmC8IWAkjsrBHLUQKike7nAunD
dOwwCuWWxyidwfGOk5AQgYE8kgPZ4owLnaDLnQfygBitlIh7F3i3cN5ssuwBeyRh8FyOgmMrYYyg
vCv01QGE3RxltstP510s60dTyIFbJMy40PNyXyXpZe0bZWrsqwgWcUwpEi1HciZVM+Ig7onLBfi+
Fi0H9z6VrAvLwtpEHjvO5d5lqsC2NmrVHEYvmb42bEPny/1pM7fdpzQC9ljm7ezW63xuEV90zQHa
dH+Mo6nxf7sh0Of4H8pD5rAuGqi4BtQJZAULoN6ll3K5K1yiZWaE5CEgXEjje7MuSXtwlm5D1ho4
ycioIdlRO4TSrOEfGWuvljQhGuxJxNMtH8gYCu4+xlH5urEH/t9EIdRsWO/NE14m8PjL4uDEbjVs
zDziyfLCmh3Gg+27qxQ3DehJVnsrMe9w2s1nTurc1AKvYrfW+BvQ9vB82ZnOik0VkrOzZjK5bN86
5SpZ6GdoBrEBociPMP2uVa9ZFKqoIbOxNnygxeWFHZx2msfMqideF7X6+PCdv644qj0HC8A4cugt
I//pmSgM0ibhJ7UbLJYNtdD82Jt+Qh5Z15fxndliSLoCaGCekLDyLhxfcz0wAnC3CzOcmyftdBQh
JCAFz2JQC40bDcOOR2XAoye9x84fiztpOd9iAtHJN03bg5PXCGEXACWsgfQjQv+48mQdrix0/fBj
KsAv1sj2CM6dHWlKGLFrWp4BFcrkPmfpxHVOFF9o5eAY2Rug3nai9Kd+RSwSEe/9WFwlSqW3lt2a
5ppds7jiZD8eSnrZ0xo7XInu1Ko+gpFI4p0rRxZDikyiYVuJInIcW5Lk62XxP6JpohEZxDE1FXQR
TjB5mV8ZlaQLQ5cNYmceDsZjlDJZWjeF4t814UiEbDnQjegAYuy2BhacZln8654ap1hKujr2xwcy
vqnw6MGvu3rgmVkOyhDluDBWwKMaxHUZwkTh7YWzR7MJyeqwscOBdzpeNpMwZt2enaTKcBAs6NQs
UEQOLHu4iRzrmbxc7qDLwTAiJ1kd85zAOsaErGmVO3rhNf205oB2Hd4rcJurQQXmKRqdAKCwbt/l
jE8FBR04Q24nLHmuZP9kNsrdWkSsVoRty6eeV15f1s0gzVgcCT+xtlNd8kzkS72pwsAnCQzZ2CZU
tK8GkjVfCYMasLuy7jU1j5CGbb1PQkQk4Jh37uK0IeIerdyas118kAR+/Wr3rmgRG3c8cZo8zxWs
ueDG+F5h1FQPBjtzgayBsA1vFt4VB7ZRH1rON4gDuwZiRNvtcAmh8fZbDcwim80nfAy07BzybnEY
CC6JlxJ3gf9IcpIoXDYWt5/cp5iONdJYz7q6ZFaAxViWg0vJ7IjiAzI1xlzkvWIXkXDsb91Jyx2v
HD/FTTd+GmN3vokRe3xCzJltWp4QVmdOO/OODXGRTLgFEq3JVsY9xN+KpMY5KP2t1VjjQUaO8a1T
lvOeBt38K/KeHlvN2D4PciCng7pKXkN6F8BK2mqf01z5vJjC4DmEIWF9dV2SzF6TUHJ0rDE5JR65
KFHqJi+F0tEjEev9uO6KfNpkrSP2k08eYGCp8BNEouxbVU/8JlwlSUulDMDnfi4NTqy5iAZzkdpi
HmiC3n29tBX+a0z8pwkPDXIaLP9+wvO4gFz/Z/OWVfrthxnP9x/8bcYT4DQkEez3CY+7dFF/n/EI
+xcBA8Di2GnjJlra/78PepxfApyE1DEWUlq63H/MeeQvdKHRqBPlY7r0r9z/ZM4jrZ8pgAG/gkMZ
8AAEvUCJlzb7n4YvaHgIPCJY+JqGQn/GGkW0gd0Qo5zP2dZT5HUSNSwfrNzt935lE7PaT8GVb/rg
9LNqeJoyt7i2oHqszVr7hywRSOnCFD1SCYoLKUYZbzMd4deyDuypUDNt8uYJpHseuux+2fZWOOb8
tYFEZmW6uNLD1g7g32BiQOSIigvzhXzUJdmVSsnF/REVJwxBLaML1Outp+3N1DWAToxuNfnWJ9Jt
PyyqzBWhl+cpmPRDWrnOvh4cGxJo2hUPSTp3R+Sb9fXkxQSqjnWR7XtrRgCGEuJmGlzvqojGYpum
sz7aeOl3LFgWqcfVTGXN5Twh8GadGewpRApOqb/yxpqwP+ht02EWjdgKhQxHObVzw0H+kOfyQYlF
1qgD87bImEuH5NCn0B5Xka/lNouzifXBD3doXIo1N0y1BQ1HwkKUDatkYPldcuH5sorrmWPIznMM
71ikqbsOKzTKne2p3Sgj+AljyaRp7bRL25ls0dopmYdP8XPA6fjTUDguyDavfy3NCiFwWwcbMVnk
UCpG82KbV3ECA7M2WGZprITW/Fg2VpZ122SofOMbu4WJP7vKO6R3HQrlBo961c5r4VSEWhs23XnK
N4oGQn/8UxAFOIcGv8ZYjUeqHvYFmqeD9Jxx7xVlWa6Qfnl3Y1HqB4MlDMV4YhSxXvlza5EAHCUO
sqhG4IobEWFjVl26OX1Q0Fns7OxkkECtjA0B72M07yvVzE1zW6U5JHz24Ao0nIMXsSf8kzJtLOfy
6IWldpvXigMdLDSgcxnR7VVipBm7cdWkwzmk8NuXNaLs6M7yZiJXdgDLwajt7Vk1+iFoJzkhzRNd
Kx4NtiQ/2hpM8Qoap1HRjXInmKWMMI3pnjlivCXGd1L1rm7DssNsJ8wX5NDjGbrfXKygSNVEtyYm
HqjMQN6DTi8I10bXkhKUTL3xHGdOkm3kTIrySrvFeJvRBvbR9NbvDmS4eVNhvn1A20IHjZWkVtgH
SYoPnRLympFO0lwXahJ3cz+45N0gAA8pc2I8c6YuS8gcZnyoytzYJjNZVOvB73C2hLFHrQvt7iXD
bJDBCqArVse23ORREd3VhAzcuTUWQo2wYE1qQzmA3lXiFgcC6ECAdVtAgvMhmUq8hwSeUfLWnI68
2iSf2cbptyh2TZqpaRpexVDnkK96TE6cVqP0jTRietOg87kSJiJL3c8ZQnzH0tPK7GO5jUWrH7re
K+8BvkZ7+K+r2OydO1LVIxBGarxWuZJ0G0Gc/ndD/J5S+A8booTWz9Tt32+ItwmZWgi2/rwZ/vZD
v22GPvoFhqffNzvJpvbbThg4v3j0ghEdLDvd73ug+MU12ZeERMwrxYWw85vYAfu+wLUvPP4CJFW2
yP9kE2R8+MPgBH4AkXiIHaDgwrMj8/CnSWfDvlPDn4qPM88r0v48ctkWIJ5JTHSu3b+KqPBOhuNU
D4maytM8BMaq9gvBVCTo0q3pYT1PdTYD9JBjdhf7nBVXrlGm/8vemSxHjlzb9leevTlkANzRDd4k
+o5ksE9yAmMmM9E3js4BfP1dYJXurSqZdJ/msppUyUQyGEQAfs7ee21Knpv9GNCf3tGbvSpYkqqN
44/gLOkOZmAPM+3tUE3i85Dr6mJ+md9x/VxqGsyvHjuvfWEG8X6J6u5llstuTTVVuIAmXSrd4+aY
SeHe9C1Ponlu0V2hnnWU9GrfPntjpd+xR07ZhhkjWou4H/apYXeHoazCh0pJSkSWZvJjb37PIAF8
QLDxb+ZMhDQejz7MbokMoQd3hGo20ltMTj9iOxbkJtt6mAbWFMpD1tjGjyWu9curk+BOgN448lBq
fkajHSr2ELV1TYBd7dmrNA+ylfqUZp4p6Haij3fxpP1kvuUm7zBL8rkVamWw1LqNzDI6t/Vs/ICn
0+CtrCv7FoByeZwS9Q25VT2k2nb3WewPz3Hddag63UiCH8D8dxl60bfGyLJg3Ttywugb4Vqcy4B6
eL885pj0MX+ZSXOMmTkw7NtW86FgT/csdfQr1CebN7nMvyM/ddSWJAS8KPz4MSPUXhKzuTPmyDlR
e1ufmnCez3WIj7N0vHbn4ei3NxiZafMyp95uVhXdSN+CBMlpxbvU890AKO3slrrpyfLCdVMVLr/o
SCy2tcKe8cHBHkyJ/X5UYf4Elyx+JUMdZ2td1sQappEm94KePGuDHmeygLIFbd8J195RNbK/IYG1
UA8qU5Ams1hMxIubJI9ItK0JVtAINAswn04w6l9JigtzzboAM1yZt/O+Ru28Ji4Wb6km7xLB3yYI
xexGs3pxU3d084BvsqZ1VmhJmktO3rRyoJO+hN5sY5kjEPFdjVqi+dUOiewc131Vm8VhJodNQs+T
0abidHM7F05wH4UTEQPf2MLDJtFG3YvbOLc8dYYfQIGzo9kwfGo84CST2n7aSwC553nu3HaXBl35
HFRp+M0geGOcQmWrdBvASfpU2mz7JS7XA0DQVYitJ7PeuiCnYS4iLYZtpFTvzcSsF9Ta+sgaQZ5u
mLrpodVe7h+kyDSShR/QXGVPQB6BGkHD6GIK1fvQEi9iMOMzcqP83ruKChiLJoWI6MScH2pCCe+p
Z5IGcMbJPI5BFjzhTazIDkAlLlYyXoq666itdj5U/A8nioNn1J3vBsubjVs3goiiO/10OJUprgmr
KgEvh+W3NOpbaw3IEn5hmZfNW+dJrH6Tl5L/CFmLFMbQF5zAnOAS2yOdzF1zjz5Hrp6ndYeXnfgx
3Hu59fN6Jjjruat54JTPKiDZoBL1pFA6dcoqyzs5Zruct+PU532Q6b4ilMeMKSZvbRBR2A+5TB7s
wXD2VWJm48YIWCNspdeYb+idAYMEN9MB/xZiNHWj6Z4EZb5sMNQtafUe30Qlugf2EZI3FggzZ41U
cQy2OqG5mYX9kc0kOGnf0PX74E0s96ThtwdlBiCWHHNq7yStMT8qxysAflvpcEWxM7i5zHGwqow0
aFbUSA47g3jju4s/+yepeP02ydK6EW0SkgLTRNPZEU1NuA5Coe7iKQizjW/XoBJjzdGExh97bZk1
dLK2RiQM9LlxSYcWwILhQ3knCT9zQ1I7Z5PY5hvATOERgEO0xVem9pixnyKwE/u20eEKkwD78Jbg
HB1r2VSug25wt8oc589ZsC7bDparEDr6YmtWMWbX3PTTOzbD+dCfZa7cslvLhv3e62xEeXmYPJb1
5jefKYxkRdwIq+u+9T1VM3ckJY0V5UTunZXqcDdbefPgFrn5gCcsunJb5ATuZ/NxiPQLk1H5oEDo
PPSY9O0Vam/4QhSj/MYR0Gen7ZX6FE9R9uIvm6dVq/lY+UldXs1+LK5Y+9QOqgkgF/wiHPqLdl0N
s71NnSbits3TjozXlNz2dtDvANmolERjUdymgcnLdTNjB0gz5o3JOcPqFGD6ympa96IsXj5pVhss
WRnOmFu78FH6jQtiNSOj2htI+/EQxj/FbJDHNaIewKOhqstEbeVtUNX1IzAT74jmbv6oEzXjdm6c
/dipfkeB6PyeyZRk2qwMgldWTqMU/Xco512/VUT2mVwd7kdUx85nkNvekdg2GFCdXlXeNxyKbXEX
0igiuclm4YOewyMxMPuGnWpUrctZwvP2++oazV6yX97Pp6YarUsAWPXA7cLbI24ad1k2DAIhUjv3
OVHfz7CTySEZDeiojRprfo7ZTUCevenezhq9p7QuOGI0aF+asCqug+UMh4X+QHi9x4QhalZa/Imi
ASGWAOgGK3qs170I1D2x9QIFNxWAnYFab2MnMQ+pyuVdnxXhDcvN8djyYKSYxEZXC/wfZpUEP6xW
2KBlWkd9S/o8fjcB4x3byqj3pYjJ5iYDtxouv5iHtAQ9SjDB9HbJkGbXMOAIUoOG3mSd5b7ZYEfu
7AmMShcvN00d5PDCZ62deQuOxa4eKV79lthEHbZDjLZyVq3CfMJa2Y7XQ6GDt8QIs0fYjK26EjdJ
CNd7gTIw87uZsy5SS0FVcFmP71mhliYZ2C5OFudDwDtfsUh9bFS0IfvhTzsRux5xS9dbx7D1w3Ua
abDqdpWeO9yuxaHvjPibw74v+bBdPuLrCayKs22onIyAw7hMcO6NZY3j0CHAsPvoT1yyNiWPIIZd
o/1Q4fzGsZcpKjPKH+kw2i9B13tPlorqE96xJ1V607YQisW4auu11w/FehHE3Xx+4wb4SybxR9q5
b16v++9o6Jwg2M5ArHP6Ny8w0gNGxfxKlnSLH9248MchQ9HU2bGkDveXmJ0BNaVWMAO0Ej707j7J
Dw35y3sBOXxaY2iJ1aomXhE9+W7fbIvZnu/jmfMOmp92CuM3y+t/1on/y/REbdRSN/bPp6eXpImS
v9BIf/+i36cnz1l6pvg+AMW+YKRMY3+nkYq/QT+THtYqhhiHi/e/xyiQo4QPWDPj33LxcptYWv9n
jOK7CZ85yvNt23b/rV2iZ0FY/YOtbkGmLeazxbbOq2AH8RfTpD+4VVWBIzz4PgwSOpwrf90wEPLh
m9Ql0YKdQPg+lT51LAAx4meTSPBamnjwkjjqb0XlwmxsQNgAKbYAIGNKvfLYqXnilssxeEKGwbV5
VGH3FNKXDN6+Vx8mwZkm2fBQjZ45DpQvdkdvdV0s0vCA9+ETXnV1BjkRXOSEy4+bAuroaOPsEDWR
lxUwqOClcyvjZzZ643NGF8T4M/CCwEup2Zb6lgDZtuGh5kdjejZZr/h7dwhLRG4ZdekqMnp523c2
jGPKBownQzpwUGfY2FuqeyOWHhAX2iJRcoMKOd5azQhtgqnlPWfcss/Al33elsq2D9aoo0ta4yJj
vuPDbtqi4uTH/XHHjY1jUpt9l8VcniON7OH4s9w4jcy+NWlbIuyHUK89lyov+C8vX9YWfGNWdJQt
HYNVXdTcjxFk9mOIM8gcB+Ota3OAXgAwn1mpxBtOYFjH1Dwo7wXP99CxwR0xRMzNjM49piFP+jCI
UL49RGb7TkH+VzvDQeBtlC8/+hpK08rFC/UmIwyRboAYO+qlztfOLN4LFC7rKcgcVKMvE06UdBgr
8noxGXUiR7JvKqTtlvaIhR/SIq2KukQD950BS49Pt1iBdq6QszSPu/NvNoavf80xvMFvrd3GXan+
S0GOC77GEVPmXeoSh7/N5MV2Fd70Syp9lCZncUd1g1ymoziarc2X5gY+CH8Ri3Hkt562TI6/QzVw
aeI9YuPBr1FQ4LjXXsVWcOwC3AYxMlY95khVsvMJtTVjO2PSWBxJU4GwZUcWSmLKCrFdecubYjOo
8ZzJKEs9QffhBWhLsbPFWc+7+9VOnusChTEKB5RoTqgi3fijl8sNOSjXvg1ZGIS7tgvN6NjVw6IH
w/T4/PKRJBkFMqvf3QWVwpSTAwDBG2SUQzuwmVhcWtIvFwHTXX55LGXM3rPNxnjd6JH/5Utik26B
rX78clK03WLf6OkFN2p+ibC3zaufDC7dqMw1rrd477HfiKPOYfUjsS4NiqnGUaYBBvhrZBCGP6nt
gcKYxpIf5jThiPnNvGFi90V+xDaHXxq7VpI68p6BHReSYFd5TETStNvQ7dE6lZ3w/SORL16jJSAR
wyF5Jbc2GS/z8ir9fO6jQz5J2G3swnmxTu1ylRnwmm+DJoeslGctAn7rav7OkOzU/NjpxbNW5cuf
9DcXG64gADDdFOC2cfH1Tk3FfwfTUpBO5g7TgLE4+pjquCCCQtHiqXPuUF+WNclyaNol9N/+goLB
FZm68Ogx0S4UF2REv2CcGhCbPasYKXuvs3E9elmnqdWw50M7u/rB1Hj6hhSPv+BKA2hR9bhPcgZG
i7kmqC+d368JvDLBODbV4ysCxcG2L0pYQ1PTerfuIqOmS8kxeilkD4F1GN/axFo1b9r6jZRqS1Av
tcfHgat4n0JG2bEZsGFARs59n3Ttj5RRnzQbD50X2lDHR981OKLYDRe23eiGX4Y34OKa0uC3g00l
YDo6ZbtYKXKxcYKS6Z23DLLBGDgeFLLA+6FqpPEt7YTo08joCPI2Ds5jFC22+q8C+mmMw5fG87iD
9Koa+IGFvoP5wXg5UEO4NRgRV3gViJsWjayPyKliT9dWHK8bnhj3i8PgIcfpVlL1nacYG7LYZlUw
eztDN9NP6RXiFFLAfEgH3/rMHW9+8SMCJTtq2dOLYnvzU7DDeKKeaTrWBQfWKaU+AKXgGQdB8xLb
st2UKiOLngd+ggsFfI89GvnFGmH95QTfd6ZfTNsyMuefmLIzPgE6b8+whT3Y8akHv7CYQ/HGEozw
u8YDDZDJs4793GQ3hWM7G9ydUARC5h+s2jgPLk6kUJ6a4ifjfSy3NIgO+Wpk5j0RNvVvc208WAXC
FDhfC7Uo84eWGiFSkep+liI+DiYwvmWZByZu2MDfrG808s0qM/rwWg4Nd5OJvUJi1P0DeVYykZru
gS5ooQLipBOXmhJs+znENf+i47x5zLW8xs6gHjgYRysdtdZDaFneY+mBHMj7sfPvFPESQN15TYA2
Nr9Fth7PVOU+zZHtvrK2tPfV6FTN3tFlFfD5YP93gB20fPD1ATc6jsTavrbt0n4BT4d+YjM2qYSY
QXyElL/dw8KrtiMU2G2eNhRGpKIZGQq7uN7m2oQiBM9Yv4f1WORrSDJOujMxjRaHSeG2WhuWzLeD
UNXaH83uyQZX+pbYyKI8CgWQ6VQSdTaN+ogtmKtai/R95PF+1nnf33a2+a7hMd7QQTUx6Oqxdtce
lQCX1p3TzSAD+3EKDHmecN/dZ5bb/Rrk2LxPeN/Ux9iZ+XBPvW8YMW/M2THCbrauVfMNr3t4j9UF
iKabhfirLAKcHYjxHNlk8Nzm1LfCuGuazt22tgAYNnnFz7zTmDgppt+GzgQvJOmGNz9xw02E//6K
IcWh911HRIfLuFArMhL1rccwdWOyNys3MQH5e5lVzsaTPY3KRe6tBumOJ0LF5XvSd2Ayq/o57Gs6
p83mpeORuAX/4WxwJ71ZdnRMddpejMmR37QmTctnDiu9FbbWliKv+NxGEkXNr1hPes3B70nLZ57N
3GhaIEO9qh5pOI87yW/oW2uIBSLfRLXdE1ifDPxiXCpmEl/YbFeLoeU1TEHpRrlLD7VdSWx13cJ4
IBxs1ZB2WrumOH50A54UAZGFSFIeU7o8wndI7+a4su1a3PuRdK94trrHir0pD/qSYuo2jQGNz+MO
SXK4qRqoJZhFnl1Tods25IEtMdZsESdnF3RF8Yj7hDEr5fixs0sr2YyYc9ttbUJD7TvXYQQl1X4t
xkbsgF1PT2bTDOepFeYrSGxuUG5U3XAHGhj6mWc3XRHcCxor93XZE6TobFmfRTHTEOYU7JinstVb
YNZJvIrp3Tr1Mu3vQeOZmyakH65L/UuVRdOz2eYhUNKif4n7+BssMrAQjuVzoBiH6HmoAxTydkSR
V604uXUxHkYTvJsMYn/n9jS2rzrkUHdVoD/Ma59AZENReezwSSi6jIWxo3Z0AvB0zGPCIMDT8n2t
pf8Cv8ggmTA2j2FaeTt6tMN0y+NQH/y0TTZq0RMhr6zMsbEeYiiUrFnTmCqBKWrPbJOlIFky9eex
kSTxbXsUO75mvPHA5eLm435DlWnv/vLZ5W2TzHXmQxx0+Q+2DOoQNEG4zZejFfU/zSof2J/OoA2q
dV6k7ha8TQ2raCBs2fv9ja4texNOebdGnB42GTrROUuL4RaLdS2eeb5lN12ZixhPY8CmK+0SzH8Z
OhB0x8h9gPIk5rVjsGgcupRjAd7O75llm9EOYAjC5WByFsxcK7vDl/QYDfl4AZnSbkl6BOM6bX2i
6BwDbmzMcNx5JxHRRoc4s5lFyhlLBm8RpQ4Pc6hTSP5RvFNZP13YxDi3qowV+02ljE1fOf1JVHl3
Hi017X3yulfL6dqnWBdwKdS59udxowJb3RVt1f5wuVvuyZo2JzTTkMiF/8JBTe+8tmE738j7dJhg
VToDZu1dOhZRDgdg1tYuCeZ5wvbQwIOq8hKqRGG780MvzPr7mBV4oLjl5ViOQUOTksLuVYpwvmQQ
g8FtAs27GlR/3Rnx3CRwtxKn/060/anupzLzVk3Sy9Cm256b2xG5aa9i4T1UVv5ai3yMz2WuvPAi
SvODwp/6ZkThXiU+1wKdfdAsVnNKiysolRjyhE3Q7DUp+LdGU5ZQhteqBvjmIMtjTF5DxnslHVGt
pWj8yLtGdq2uPP2OXcETVB/+MMlff4vc/R9oQNcqoXHp//3fPyfcnK+8NjIljuWlJpoC8D+bbCIY
oRPeDAx+TYO3TzCJOklsP82Edj6Dxkr2//rnOX8OuC0/UBITdWysQ6bkqPCXtCS71Mlle18dyqIh
txFzKG65MX9kRkcc1676H9R+SHkbDX4vjk3jArJbtxYO/RtEOArRQTAGW1eV5Ccw8+K5NFxCyY2N
IXyIO0LSCATcK+Yy5NhWuCB/IlMEDPTUbT3aroG1Xo3kLpK+55gJPe6jcgbdPbZWAH177ixLAw9a
atrfZ+aJDILEyGAXhTjjExEtJmHuGE+FJ8gY5VP7ySVT/vLnoXwUtERjwlcLH+wrHG4WchwvEbMR
LaYFj+6VZxnhPYb1vt0FeCTb/VeX/MT/sbmTVW25e6Io7rhtLb96+5qFv/yF//qPsGw7/id9ufwN
vCWkTzrAIdf4W1rvD86qjBNy6LZmdXCmZV6mtpnZoMf/ER3/9Q9arp5/+EGUyXAMwExm//XqYh0u
of3yg77SBywnCAHgl+Lvw2dPfrTJYlGPqpEhZOYp+5sd4p9Xmf7DT1/iwQHavTRh3fw1w14bKJgm
guShSWv7ydV09yaEEDk/0pNcjdSlrNzOYwj4zbj9r391688Z5eVN9hcjgB/YlieCf/jddeoY+J+a
6tBasAFXg44IpHiZIhuTtozN0nL55b8yPx3IW3JOTdkvvMjIyw9w26ynrxf0n/Xm/7LeBJTt46r4
5+vNY6X/5JL8/Qv+7pI0/2Y53pK4/s3s+HdfCAUO0nYp+PUYC//skFx6H1yLAiQuPpev4+P3+1pT
mn8TrreUqeK2JAf771kkpWBB+sfPF1e1cPBQ2FQk4kURYll7/uGDDCO0G0ov8U+mKsazkSIDalj4
D6Nwss+iHBCVkGy8tZdT7EVxQZjdgtNr3jDntcAivda4WpGHkzEGoHqVogtfstkO5Vkl4/gj7pI0
IuklVLjGICaAY45ztOspqtmGY+69TE6n7/umFhyTJhqNTuix+ecwTM5lUL3/Eo8VLjwC2j66LziR
Cb7iSGhB6CMo7eQ4OGDp01iofuWWgYPIXwj3E8sqhWZ4s2k0mBHixuG1Y0H5kIVGP296Eli/AEYW
d5Ex3GTkT9CY6SRHkxDqQ1Lb/TqS3lsjjMe/DCHwsgeRoxRrL+9agywuNuMk2mtKwTaqUgNgk+XZ
9MsrDOO+KlM9rLyBMOlg2CCUZY0KHbU+1CkNZ/9ix2lGDQVdEQG8kT7+mBHUDzmFf1sHse/N4pg0
roVf+Pt2gQWwfHHzx8mK47ve6Y9O1VfRIcGRvY+AVJ14TA57k/496OxF4T6S42NtM5cxA840oZKv
eJb1lM5kRJw38EeCz8kyOeGjk3v4XBbt1WVEWNO4qE49fRjbtLWAEtkVYMBcjcF56YFd4Xpk3WAG
tX9LxjBIduHg4T7wCnXAO18dMoKk34lf+N06SKhzXcvZrR9VrruT5fnGumJ9cF9BN+pW8EfzO5wh
nrnyo5mOKhJ7/TpiRviW92C/id11/tliL80QME/At6EcBydhumHHuEfkLm9BjpYxzg5aKBDVhYvx
SOoR+hgGctD2KeHPlRuDseUE9ovj3dQfzG5WycbwiWRoqOMSntrMHj+Rc/cDG6hrHAAm5i9hP6ZH
6tQV9PMpxYhfusNHbQX+1dUNMKS6ZDAyBBp3KpSALReQ4h0TS9/NXRulL8rETASg0vCTisaEmb7b
vUezEPBpjznJxqmaf/LXteFmxTRl896COIZwdwENNVXJrel6RXgbLeZVdqsgoSSjrnY0489ico18
fka4VCzhf5WLEVZ/eWI5dQzlIWTHsDMW02y52GcHli6nabHUtkVW8PFmcTJVGGIW4623WHDhKFXb
drHlqs4Kd+li1WUypAR+se82Czcqx9FrL9beysTkO1bywZTBgfWDAyYOI/C0WILHxRyMZsj73n95
hnkshRvgZ1yBslQmBjNy7ZslW7QWi+kYn3J3soumgLoMPVGMgb70i01ZL4Zl5fQ9pFsGw7OLRnqy
F2vzZJW4nJPF8AyPFFNt0N5T9aEww6a/SDM+W7ik3dzPPn04vpvUpVmmStL2yejB7UKn9vAYozsk
o2M9Iixw1/IXK3awmLLNL3v2YtRmWvDXw2LeHnBxC9zcwWLrjiCYshQVhxTHt7tYv4vFBB4qpNP0
yxk+tlhrGhCd63ExjhspFnJTiHhjLrZybzGY219WcxgED26NMYXbU7adFku6t5jTXSfAmBQhaNxg
2zI5ZaY4tgtnfhW5lAxPTrqJM3iwYx3HJ6/vvCfPc/pzrSG1c5PiAMqqgXvHKnFC4wf8dJCIcQa1
y8z49IJ0Sq8zobufWVT7h2qW8gBfJr1oywjGbdRG4y60AZ2DRimwUjnROkoyRSYJPcBrCv+MGe4D
GMBEkUMyYDIoZmxWqttSHmtmfAzL+F7ncbaFI1nma5dGT9gG2NIbbC5B8CNhVch7LhZ6czJ2IzY7
o7wkTtzeMS3qz8Gkxn6gj2NfsH3amvAUiI15/a5p/eIbrmUUM046VEnz5/+W+s7OdnoD8NlY3lns
8DZTHplPdMoBdZ9k9+ZZkXz01ILpVDFlNahMu7zGQjbMnU8PlmyXZbmRbR3fzrnpxkn/mEhRnfy4
FR+i5ZIWQunLaKvyxif8chgNx7prWydbf9ksWsCAj6DoXH9VGFZyi3u7u5hBOFxAuoJBj510PXBW
g6Hmc8vMozuk/RTKpJFcjYyw+yobfI/0kYg2Iu3spcIink9mXse7gln9NrFzEjLlDN27qJ32fUps
TN3QCpMLbLf20OJBpLbXGr8XXZ/hZ6rnJzEIMMxh6rEhwN+3SHTts4q0fZnjUF8wjFFmm7smJXiO
ih+o5rQe7Wiwd1D26s2kFZ0vBIvi11rVLYRf9Ma4rULgDcvdnif6+BFnKn8SsfRaigqoC9PgU6m/
lohAXJUnp+nuuy+jTvSba8dUoO8Ri1xt4eih8QJ7TzV6TfLKgIdpfd1Vbs+TKFscQfOXOahcfEL9
4hiaxGIeYuM0f/qLoyhcvEXNl80o/rIcNYv7KGKrstcYkjR9d3scNNGWixTn9eJbQjDL78XiZXIw
NfURMFa1+Jz+cz7+/+HFkWJY5PJ/cT7+/IirPzqnf/+K3w/IGKGp6Rb8Y7GcdFkj/Lf2zz79b2RX
0T7+aqBeaHFmADHO9XEAfEWP/n5Etv4WLBQr5GOkAgev7b9joOZQ/Zcj8vIdTF4WgSXSTzgK/nxE
zqxQ9Wj27q0TS+MYQexQZ5wtk701fGtyyBKM9JaI8jSaAUe1Oamd4Dsgu59xNTuPsDnxDFmVeCIo
jFcGCtCZYx2Wotz2aWPhfMH9GkdrAN9fsGl/MHI7wvkVaa2ezVLhdGOll4vinAVJux8G1M5bz45Z
cWqV+7uEnoFjEU5i7aXAUKgz5ZxXoKRaLFF2cWJRtkOi7z6rA6zTKfamSy7q+tL2dref3EGdbNZI
n3jo3mXR+Z8yaM037Nre3mTqfG+KzFxLKjaOrmg/SJhirR39eAKQYFP4PE/xeDDrSu74Qxm3ZWqE
48bz6FIxfQvfYRNwawFCTJ6yGHZOm3dYbROdsiaL7dcBMoPs4fTSbghIN4nNh6ktq4euV/SPd+Zr
7iTB84jP9G4sR6rc7OAVXoq7HUwokWIo7mVq0AzXN/ZtUxTNsfdFyOE6SWiVqvQR4n9yExj5R9Bx
ouC9pqKkdrMzR4xgn1fG8B1DWEjpnMP2urTyn0VOvfWc+tZPhEJfkeBk/A7s5CctB8020Mn4jTWz
Lokno4uq2qfqo8j9d9vueYp4UHrBEL8WSfFKyii5AQdCyCPWw1vYGc5WUGIGdD7xWNGREFrBMaZ0
PS8Gx1qJJCgevXmUS3V2XB+XK/JZDa27862QdTiW0uxAFlgRqfe8jlc/eBtoLYPYm4NwJ8AAjBMA
t63oQWZWdkWAnu9CHXPIn6W6xMI2cFGbo8NPwXdBbEDuZZo3cF3oq33UbptfHMI0l3hyxQ0PUaom
eF5cAQM3uxLI/Y/Ol5TTw6ujUyijJyhoW1znkZbWvvBSfWnmMDmwuGwvHb0ZgOZdHX3Gdk6uv66d
Q0wkB5RPX3vkSAPO6knnmbe6nMyV21BdhT5hmyUMvgFZw2/7FzCmvYZ8NNlIC5ma1qPpJRs7iocd
MRmHSFGBLllxpj4PNGakmMEk4H8KCZtdgFyUKF6UB5PnhILVPkcNpX4opnb8Cx2cCJqfBwePHful
cYxPd3boLYtjFt10VtOp1uCNpd0twsNfixoh2QxeE4zWq6HxMMSXyRV5Pt7lkWN+H1wLeSSx3B8Z
rrjTPBZDvHaH2MUYCRaosTr9Laik4KEfevCkiMJRzhlE6zLT07nSRMvWPhbnEzQIPNIFkhJbdHp7
OBZSw6SCEmDtWG5o8raP8Jaah5zAxx4gS//ixE6FRFLG0yoNMwMDRpScjVqgmxeBX+CF5FdyOYCY
KxsAybrwNNvkZpgYTgYaLrpwIv/mz88DISaWTMraxaRINrR78CehvfAm9svm6vIktihHf0oyMCSB
6A9NKeY73ZtUAY34qXs+1nQc2OMR7zFyiHZp/y1sY2tpq6WtvPanx6zN6xsOi/aTjZn9nQ4FCtgW
FbDXDYyOKYnDY0mi5XFMFd71ql0jRpk3hWdszbLS9+hczWVKWdBz84QZg2d7jSAfI84nVKmbzEyR
0FRNKevT0o57W0sCFbY12Mei7V0CeS2H87K26eEJoz11p1ClkvrJ8OopxLMjusc5iKefhUnwaza8
6UBDmLz3JlXgerHiAZcBVk0iDNne68d6kyBg42OaO0xeBLDBvcidWgj1LoaxG3MsCQcAoDkGUaw3
YRb4b6Iy48NU63xtjHmwbSSFJJu0ddw3HoLzQQaB8dNK8XyOOsbp4Mr+VxoaNHwQwH9olWuta0ov
ukqZH9FcRFvskZQhVwMJ1qE1GO1CFb/Zc9RdmiJ/oKmiP8XINQxdTX22YUaQrF4g0KM/X02LRAvt
K5ladX04byVU8n0hK9AfYvQ31M/jD/Zi+TOasHtBDqUjD7Uo455Jdj3T+BFcx7jEhlRkIBz9Ssoj
WUurnh9cmu42Haa3t96P+Wwwom9mx8+PVpKNN8zuVJLlkV5pJ5HvWY5SiHM6ubXCstzT4Gl96CKS
m7GjTrvnlm7ryT44A0oeMIvQoS3LAuZuzv6RyuaH2bSOxK9M9jCoFAAJUexXJYRLKh8HOHhZ9GqM
TrFmiGw5hJbxNc3bqVwZnIpfzMhVp0Ao7xSxS/a5g4bBgfumsQbQcGk9QzzMc3/lMNmt2ETn5543
jAhq3z+RPyxOYYUIZrhQKbDkXtw5io+BbzxkE+r+iIfEXwlBPEmWkY8G6vY7MrH5tuV4uzb98ILh
LttXQOiOoUkWoZxNRuAaZxIfKIrWCrgmUUeXqY3/ijqNsLhETsPtW4f6Azh0vTfAVJ7nofV+WF6e
f8f6wkTUNvetKBxKNOWzOcn2lg4bdeGY7h2bzpj3fu/hAmfl8twWcX9y3OIjhYh0jCkVQYZLKiwR
U3bo55zt1WhE7SmxsYzLJJIPbVRW11lROuDz5BpWaXpvIWW/GbrUF3IGA6h6KxxerSQxDvk8OJei
TtKTnTi7SqQwYG3zLnPlCyZwucJGkm8ThLSVh4D4RHN5ve87X93Vfmetx7aGuqHCn34WcQuM4njv
twGYfw71h7bKF9qB1OfaySIiU5RTei0SN31XrIOQTn85jCkxUdy1naXeYxbyEjor6zBOUZbmpuJm
4K5KNsd6J5htwKGT8V1aVxfMJtPN6DJ8h5Z8zhXF5SoV+HPQtPdJE7O+GLPwven/i73zWI5cybLt
rzzr8UMZhDvEoCehIyiCKslMTmCpCA04lEN8fS/wdnVdMtOSVj3uQV27VZUZiIBwHD9n77WncS/G
pHkejZIuX8BcqdK2PnpDCgPCbZ8HPGRLniYUOroHmYheeTdfjV5Om2ZyQJQAFz8F7Ki9jMz2sbtA
/iYYPlXMaUlWjNaxb1br2PTyTylB5fcUVdlFCZWtX6GI9FbJkLFlqpAV7gMvUtd5JHaF66g9io/m
Cg0n6RSjNPZxKoodGYnRpbegaxoaKocoTIn51kPq3tQSgnYscms3+j1suJR880EMz0weGIZ6jQTj
PljzWaHvWWcwYk8VFO6d9Ifxa+/TN1u1NZD0kMwnCZosqsuVOyEJldU8fi+zWD27k14za2+/FlEQ
bvgiL0Vf1Lu0IIGbsb/RHKfWBNuWZsYhQiWE1qTOCnJnRVZeqdEmEICkre2gizomiTDCSdDYG8HW
mFeaizZfBiawkyw9U/fi1TBzxuvuvDNDxRt0CC0SlYi55yWsNrGPbCd0DPOFkGQJQY+pbt/Bwq/c
DgdgguGG0qPZEtx0i3gqc1YtU6CLMCQ9ri7t9IiTsX+urDY62GMYbj1SZwClTW12apjLrSPaeZsa
FQ1qU/qcn6ExNsHO6jFsJ7N56yleSKQgQP23hs76PiovP5NKzIKg7XxNVKe9C8s5L617Msf6NNyE
mmSF70kPMQlh1V8swJGEP3EKXymBCKSC6mGYiAr2oAiOC04weCULpg3cPTqUJCTj4GOkhGotybzN
tJAJDQL96HItvEL1Si5EgY26C5ohf6d6Nogv3U22VsdwCsdmZS0URHPhIfYaXVCt+NMkdlVfsBsR
+To1O2pz4yoD7LXpo8neJ55UaOjUWP5oQpMG4oJgdFFC8gSzmbtGdvEwx8yw6ka6PwTpwyFTvFld
hDIYtpIAx7umqB3khUVzMgpV3JoDEQouebcASeKhP4i885fVYNpQ9dm0WShh7KEtQNUn2cFtcrFl
cmFfmGUrTs1CLSUTA+xZHhMK4U6FQ2ILxyOWovo0Jlo8tRautlWbKLJPmBmDxTRzWhucubvB8eU6
ybuJbmx4JsqI02qi3bgfhyDa6JRuwxq8tXk1qYg4yK5tNw2jfSxuEvcBTWzln33ewgjkRsb6tNmp
kVvUBKcR1sFDRLjVl47Skz1Tq6+nco7uaf21O3852SRkpXs8aIux0S7iayPUA97LctRbtyfWBtN5
fR+GBbQ5gqDSfU/U4zHDm05sEwKOqLbqRyws1mcLNMTnssLPWHjmpbChBGAcNY2DYyuFGyrAcdlr
8wKfjbrX8diWmzBUpXfVj7G4RZbx1ZtB9a3UTCocIDoT+cxg8tpP5gjDrYku55zlU/6UkmfyCQho
uPftAKXd1Fv2nq1Q9ylrenp9BpIvZQtMsEWkGOtE5S5Fk1NtxqbEDeXiTsIi1FDr1EmNkCWWw7eZ
qo+K35CMi6pxAoXoZ/GmDPLkrokCKrF6Jr1Mp729bX3D2treHBwHUJjHeJ7TSxkTV11Amb3OJTsH
b0Q26prGt9yv5k9xJEKyVhkd0ckkPRWdYTY9ZSwV9OD1YK7n1EPdMWEYzXsV7jtb53flUic5M/dV
g2R8RYMxOoWLNlhR+a6TBINlmYYWdA0LjR+nkULWks0lsm1YmKUplxUs2gZTPTDtaJO0qD9XHUrV
s4Vy0gExhozgqrZ4C+A4aJEI9TFzd1ACwp1/GFNpDjfWq1UGMiwfSKTiU4cYfHyYByPl/Wp0bHi7
m94EI2hv+96zPbUKUBEOF5ySxvd3JATG7toh1afPVv+/gPIbi84Yr+do3IfkTcBtK8bHv7V/fqMZ
WWAzb8aOvomHAjOHR1VGd+eXwTrqU/iv1nAdGa3EW7nwUWzmZkC1DN/fhNGzXTgL0O3kZHJnQGUl
BW/re+GV6udtW3Vbfuo+QIeYIU3+85d7py9h6M53Q1xhCZekXMQ0b/s9haXr0oQZeK1Uc+0pasXw
kOgPAOS/OwhqGdCsDEsWMcXbg8i0G9n06oEOr4m3mS2wke9Kr9q9/pb/G9l/NLKnC/FHnsMuh7j4
4+3U/q+/899NSd/8Bx+Bltj0Kbi4Uf/VlPS9f7hIUSTBDovlCEPQvwxJdDJN0gwJPKBpyED9X5N7
W/xDss3BaMoED4d9IP+ttuTbB0gE7jK3Fzw6Dv9qLvCKv8/to2Fk80Ng7IHOU9SB3gzwfgi6gks/
LUAlJJvyMnOJ0d4EMTy4f+sRkbTyfRQ5nB+gFq5tv9N81TWzZ413dT/00LS9qXCpmux8M3lJcfhf
HCrweSRJ/lhUD29/KMYQbVlE1e2FBUIzt5m2Oy3yZ8end/DvH4pTGSCwsLjozrtnkilKpiYh6K2N
I7ROzD+bpkMN2o1e/4Gs6Z3s4vUEwuIw8X9xU8j38QOjZlpDrnS3D8BjrjSK5rJB9TlqEExlCFoK
nDSB9iFSVBMh359/57KA/U1T9d8Hd1CPcBejSXv3OzvsB6GjmEsbFd1GKx3jbYmd+4OYgXcrHEeR
rKG2h0wFeYnvvTtKG/lOq+uw3zckozTcmyXZpZJscb1NF8/BBz/qXZf+9XDW8jJeGrMm2rS394ms
tU2gYtfvo8lFdp01P6ExvqCNK1ZWXly4IRrTf/c0StumD4o3kLmA6b6bC4RxhqXEqfp9Si9uXYYB
QbtmUG3/fJTlNL29WByF6QcSJCJkpLOc5r8JdAD5WksqRr93aD5CLTIueWWeJ7r6tEML+cFv+t1Z
/PvR3l00V5gwc2Xe00warNXS2og0kW+KLgWJrFRYTZZ9+/MPfJfZgpmSG4V9FuZP30Xl9n4pm+KM
ZtHAY2fFrkDCKMiHNpf08Wr2D6hdsk1f33l68td4udsfbmf6J0Cjhx54B22KQG/70UYHO3jq+zii
rqVpFqzssKvvUVSsiN+J1lZWzx8sTNavj5EktMMzF/4d+q33d5zfRq5ddTxGyQCuayXIMUMeMUq9
NQx29klr1WvlQ2p1OHtM/kfxTFwbiFbLx5vQzQ6RZlFwJhEl+uBZkL/9aqzPyxMu+c+7hwEisZvN
Mu/o7sZbmpxyQ9NiXNekiW5boMjsdRxESAOsmw1dFEZXJRmNbVjobFOMyOY19vVMtOmqpsSknaPY
g5bUoKUdTRdRbzfX7K2N45xRr9e66zYDWz0kJE3w2A+JgX/ChznhJPW6EYa3o2tKfC1qZLT946nL
mnaFMQqhARu91ZjLi1hkn/rBp08lyGGYnDnbNQ4DfbLqziQBz4c6gcwGnNtZjWEeXqKhXwwGNcSf
EpAunpCXbHLuOp/sXfog2aFz4+7MJ5e7P9+tvz4gjBspDHjqeQcjmX/7OI5tJHs5LBe9ZROWkUuY
+JCCkvGhn0NFgY197X9xROKz0DSD7GW9eXvEoBm1H8xZt2/C8Gi1Yptb0fegFJeNUwpgt+7nPx/v
13WbspzVBkIZwlf0p2+P10aBLrk23T6dckjYWgzHiFTOrW830+bPh/r1NvVRVlBqU2YjhFk85H9f
26JeatRyFW9BX8uLyqgtlJZgSv8XR2FCTJmCvpFz+PYoBRGfBQZIXncuHQA6MoFx6OvIv/nzYd7L
dVnH+DU+3SWqRctjUXt7nCwxZstVQbsfR4tWElzjnYu9gJBwXGgibHEmO9z4JiC6U+M/NXa0rxgG
frQsMXl/98JYPPKuJX1LOpb1PjuqrtEZJdrDq4vAcjvUQb7DYNHtxNAli1F1FkerxILWmNXPvBq8
u6xLScyUpr4q5tk5ETYYfnAF7N9+J8zz5A3hFPhluxcJwzDC2Gn3ZdSXQI/IzjUZ7c1lV1+HrcIi
6iGlzyWPcl4DO+lVggYlMe1N4OMX8cr8Z26N+jqjATXPw3MP54uc9U7dTyXB2KpL5AHM0HAqp/za
MLuPiovf/4DAsjCRYuVly/r22oZWExSTP3BS4+mOQaLa9YOIPpERw0u/9tINRjCT0Zrb8cZqitMU
z1/9xHtoGzc40i0I1yN+Rsh+VXCLT7N68MX8c8a7fwLlHuwGFU3oblNjUQHluyap1QevBGt5bN/W
EdwWf/sF7+7OocPOGFUTSHEcvaeF+3vqJCPF1ACikjQs8j2QlTQ1j3TX9Lpdpkx/fkBetcS/fgWf
jT8Po+W9f9xhZwvyOPsWShumjVWP7/YbZdWNJ9qStqP5o8r1+ATNLv7eNrTSdLROKxvfvoNCV0dA
xXB9wB7DGTcguMSDZ/cEq3DA/SjTlEz4yPo5lZbFUundg9faSjOtNq4RPIEqgEqjpXmJgCs/zBU0
OG3euxMHigREAjXQ9vzgnP9auvkuu0GBDl9Cs30f67VUPRnpAO2+TvOnMtwTTpRvjJkEeYQhzgd1
4m+WbRQvkp2n8Pjg95g/WtVu2bDo7JETvwQJVjjH0ulKjERv/Pk6Ljuud5eRI+FKCHD7ePA13j4L
dRgxwg8ld1ITPWSWEz0hRWUgCAIeS96UYa4yXcM/ha4Vf3AL/ebti9kaQLDj8GKi8H57aJCp4EAJ
Atn33oSkwr8ZvRo1aviSe903trzuBy+o19rzl98qYRVbNhtu9/2aHmijHZOEW5ZteIkVjLpnCp3N
VDIGdfT80wyLhyrJx000KYobVH5r3UaEuVOt/Pms//ZmwnPDm8XxBDOytz8di6qmfcnzi0OUSKpF
VU7KEh3YhCGRjNOXPx/uN69m16Ry9ANUQr/2p1wg6wvvlYs8NeM+Ula4npnkfrBH/O35tehkcCdx
enE6vP1V9MAjSGKq3bNHRiSqRzh4ZRqs3dA3jkOLXDnSJJIb+Jm3A5T8Nd2AfDtqA0ie+9Ea+eum
3H/NjGRTTl9Ovn9eh6mXc9xmfBmkR9s4YhTaNvPVpEHfRYVlrBez8D5GHb2qst784LGyfvcEUw1x
sqnbfYSPb89FF+nQdkqzwW4v4m/KW5QjeOS7cws2t1ihp3DdddXzARAkAygW2q1zuTFThbSyIPUI
gqIxDVc6diDI2V0HWkpGH6ZE/uZrYkpxl3k6phZiNt9+TZBYySRLt967Y9jsejHrrUCsvqWWTz44
Jb85FAhvQYA50dKkmL573BNSXXCMe/W+m8PiRcDmu8XZwHTOcEnr+/MN/9tjcSea7tJS+2VVQxo2
d8oHaiftpLkNpOXuqmkhTDQLIf1/tI83f60efzdM/mYRo9qlLUKJiMjq/b7RnsMorXqOhAc/2hAL
pu5hCttb3m6IxcZCMP1FzPPng/7257G/FgwwSEwM3l21CNxoF8Sy3k+2hd9XkovAsAGSp2m3Hxwq
kL8p96g0TBhCBDM6rFhvbxE/E1UPb4ZbRDQwddwJaOs6icUAa7MIF2V4A0TUpSbP17WjB2PHzrEf
t/PoOcVt4UsersShx3gM2yl/tJUmGaiBXtAjGsnhKHWIXL5C8GLYyFCu3UVxDrekxZ8er0p+ElpI
F7X4JtASYy9gOGe6kEYckFDWePO2Ek0M2SiLrQcXlRUpfGKU9i61itHdOoGK7c/BwBj4J7w7YUfw
4kw3vhhBEIaQmLIm/tTmlTUdmdAGco/EshBbw1TWqWCKa+zB1+r2WhZl718JdNDhrdtaebnjvxvD
rhiIQxuBmgcZs/lMi+jK92CrbnrpVOmuR7Nwrw0i/k5NaVQH5v1YK6eoAbUaxMlj0eIrXY3EhKRH
Lxoihdm7Au4yZYjrt+j3yuYy1WwnSVwD/pnv23YIQORqOY2bSk+heYEHOTTpOxAkslGFXIqrBCbX
V68N6Zd4IcJ8dCNVc69kAsePQIt0uoHhoe/LRDTddjLqwLszqwJcLgkvUX+kiB1hH6L+IfctIg9R
qGie1+gDg/0CFai2oElp/5nkaGR48qX/KY3rfD3mRYXnXMQwDdJFI1j4/S193l2vpXoKCUz8nBu+
edeV7rAKC2J5DUglW6cOzj1Aw7Jud2PslXehRxNVIPHPZoJ3bJFB5AuyYhf1+uSQeby2Vfs1RXSy
QlUTbvoU2z25ZcSRGQOGg6nlOzTe3m0Hc4utzN2DmIV9MoDzRi3BiFKo8ZvXEUgjepSvpae/zrUr
D9oZZ6a5SO2S/JGh0tY13PpGBkWztUwUgmA+5nVvJtYFMpf4yhm4HuwWoBQm4eM4O3IvDQvxHiNw
0q7CI9RknAVp1lNUgCfNeUtgmfHmW9D0x7pjwpjM0yIiyM4Z3SUwtM0pG0d7M5sZ6iDAfqs0DlFo
ebh9BpwnCVf2JvTFXWHExGINCBaZ+s3ryej6DQRoez9Tut6FUa6eSRo0L8vY8zdTV7sbiCHNi2vU
5dqAg77xaVjvCcKUBK2DGQYEMh4dM0GOOBFEQpPiZFvjLpHK2mVy+lyYPWPmJDygYLxP+umzHMNy
y6CYRl0ffi5cI2IqnRX+UfdeCVupBvEsjQckcuGpDZ1kAzjC35opspx8qOE9pcG8idk33CWNoW/q
qPHvWgCdq8FBbzohhclHuH6TUf5s60EdfAf+TQKIE5u4r19Ei/B4Sfmhw5XppJvBA1Z1icxhRaW5
RD3DguwewOqD+LK5eZ4KsN1ImWv2EbxMWSTA0w5fFOf+uh64y9IpRLSWWUcTrcPWqLpqh9TCv+Bf
QLbwQEAqseXUXvoT+IH2yxQ3XgsuA3PkkG3m1m6+MALfmWnkR9Cb+M57z7Cr7yOCE3VwMgJbNgUm
PcIW4dX6l4bhgmPLPB9sTj5pCREYMi0chapODk3DmVp1WZlvZlRZBMmk481rjF5YlFlyROPTbFF+
1ChObGa+iR5moiFoxsVJa35zzZB6kv6u2pJpk19AK26+d60fuUygoX2myPScSyKL3Huhs/AloLnf
r6kCkEWqUJvgLXwga9ovXhoFzw4sWGs9lzg8NmzRINeXNll+QTlsWrQa+46K5cGfRPpFo4PjZszH
bdXZ9WkmVhtPX0mQrHDaJ7pwjEFS/Hu7TvfcCTGcz89x5NdQljC1ZaNRf/ZAZh3SJuxyTGRdtksm
s32SBMqwP6yGYeOGsug2/dzycOS2gWzYFNmG2C65hoHuHPtFyYaYEzk/5v8GqbGli0OhKv58B9sJ
t90QzSDaEvhUAZKYZF2Zog7WoEMWe2CcL/egMZyiII3vzYJwBgRTvb1rOZ3GYxkIfqKnsiC+iOyZ
r+pm+hGmaD9cRWEYnRO/9jeVqearqoP3JUDDHBEcJ3thJu697mxJJMXk1WBM8ICmQ6uead3ZKKEq
eYYcXrvbEqPcbu5HsHHVKIq95xHvkOdKe6R0xPLMQ1TzUHF1acLDPy4CcfbQ3XxrljBXMTfWQ5tw
vpM0m/bzVELZiDmpBq7WC4Nb81bJRn2Tyw4TrsGsgInUabLnzCYHORZ8rEFMt9WI+qSsNLhEjai+
dSCNPyMgsbcz7JLvlRUhzZgRT5JQBZvtFNGN2PcBAVABVrOzgFO7UBWD6DwmJG9R7xbF9GNGdueP
C7HVEVA3BoR7lxDtbWzKxI6uDfJv61VUxmnJCtWHpH/iUnxQ+DLOiazCT8qNo2tX9tUzcU/ZpiP2
EEuaMYfWimiy9ofsHXsbITg8TY0JTcjo9UVT8OPBQY6ffCNlXYyQtTvYBhCcGtG5D2rssbEvqcBL
OJFn4dT5sclg0Ky6gCbOBvMRRuZiSQ8NdeCjRRrybpPOqoLRznNOG6tsn6aJprXv6faHFwm5DiG1
HC301tzlPTx5Zi42Otci1o8kgvXemoiS+pRLM7vzu0YRTBi790Yw1zmykiE+k/JaAgYSZfM5r0kF
85GUPppqzO6IRRRnuyF1EqZ6eFcLzYEyY9phAUDbQpERg5rmrPnQ027MyJhezBnZqTEKSahM44d3
dgG8DBw4+lZn4BOrObujZB8/wepof2CMFMYJ6kkbb40ixgmtaPOtwx6K/op+S9vAJkIdunaNyitZ
ySHEk/LkhnciZssFf6itp2OhNX7NuOdOmo26YenFO603rFnxOc/SiqQPBFM3hpPSxAXhwrVGixbr
I3IwH9h0270Q4sKeSZtFiitjqF+MKrUeRUSemR5a66eLMIi8WnusyUHJ55fKThVxyDYR4esmlf1P
wh9nAn60x72vFKfF5U3e7s0hwyn7SnuccTPcBZ3Jaua5+ueImOq2C7GV9LWtsP+Bs4MjWd9anR+d
Q0JE9l3QA41ofQfBV0x+3uTzfANz7p5qRPvmbQP0mzW+ygp5rKaKk+c73hV74nCnCPFkEQMgQN+0
c3oGwo7/DL2nuw4LgkF0nuvDK8Ww5rV56WBpRRXqRcmNK1q1U6VoPzXkN6NNil+6qOJ/apVSqAmV
803iad8JBRJRYejeIPgu1xIjyR4tLzIuPFdAjRuew84pJshrzXjzmqZWkhzxiI5crHOjuu8CcUVk
bsIsEt0ykkzCCvsgvSYr8GT2sT6lhWo4bOaezYGEv9gj4dTF5gs7PDGQ2BrqDGoqvHdDuzoGYwKm
qkuwlVolw8aahPOjTLqTnqZ8k/BsXpEH1lwCuChPUVxOSO8dSsCA8R8t1K+BjOtj5hFrmVXa+QHC
/VTjMWBJ8/mH09bb0rUU1k1xMY6peKLeNok1GqtvwbDMmapuF9NZBsFaeUzLYgpSnVbTkw+49M4E
NL3zRnVwK+TFwWAk0SqpK4wO81f6f8WXrPBmItYqtlY2AlUWenY4a4xiIkb/lbVHPPLOSocG8udC
qB0KcgZfVq82VKgkGfqZuSdutL3vawP/CaLCu77lIL0MPQRcQbmiMb3Q0IizC5LAfXTbLj8kifc4
pmaxp10aUwdSyq2KZKpwPg/xVYJ5aA0B4EjYkfUtNsNhp33DRLxmzRs/6Z0NglqU7iruVkNGqzCa
JveC4kI8pULuSzlWEOVSFuAqZXeKVD7YB3kQvOist59GJWBOFsESHFWIBxWP6Xqkht1J1q6LImzz
x4WMcTtprpLUwLJ2HnUhrpIm2kbYxH+S8pZjVo265LpOuQ2SMo+SlYFFg2VNkTEhirRdjypt1gwQ
sMl19rr3XAp6EaVf02nMTtFQHjr8qOlKCuOymtLxdjbtpy4xih2P4g6Ia0qhJiUFmddfF0KGn4ga
pswAng8UC0EhWvPkzjebeUOasX/REme7xoQFQRwtYOY08oz5ltzveAgshhb5fJymSl/hfeC1s4Rw
88C55UlB0D3nqYO1qU5nvH1Ng+N6lRtkTMKoGfRVEHbp5wIQ8h7GN/FEsNR5Y82KlkafGMTGQqC4
BOObsqvzNE7fvkmzE7Yz8056CFhTbzyEcGs1oeBXOVf5oi0HhKqiIoKWAc+qHNrukr4v6nZ8xhZ0
288BM1P2OV+bioSmIpbzugZigVG3jP2V1p31ecSBfqxs75s1uz/hzdTPVKz5M5DwikWrNT4hoTV2
ju6jbef1xe3kUrHkU2Mx9A66eR1BGVKUQ+NB24TAnAynGgSsLbP1Dl5mweophVudDbALBIxPXnWm
fVNhR4IfXDEGwAXPPSrT56JIy1u79otb8kUyBJITC2gaD92PvLXNbyXsuh91aM5qbZNeeK5RAeA1
Tqv7CX7Q8Lmh4uG6gQTaAQXMeUsYEFtzBWh0DgDk8rakdzbnADFo+vN/VWFiP1AfszPNilicomxs
f4D5JBm6Bz24bqe+eMnIckWaCZ3/2WxT61sWN7zpQbmNN209hs+4sdiEizAxyOGaQ2hOUhnFyp51
4G3nTJb3UDRYGNp4HKqdF4EW3IkAm/wGRS23R2z3FDiEVFX3sduD44OfGD5LS/J3Aqi7zcZLYQoj
FDW5jUpnggSowTlUJBAgl9qUqLQ8NjEjB00TUbYXySw79o1mqS3CRxD4RqDB0DXjG/fH6igG2o+b
WASTsTempQQgA5afxGYquExjE8sAGE6KVqS8XCVj5lW3zsc+fNaNjuNV1CfBwuSQxYvd9xy1r53J
2gzAZ57/OplSE1ZA8IRjJeu5NVGmeRYsAnAfbrUHs0RYT00g5JpeEKce120J8x4u/j6H0Py4KAtw
cpTZmB2URRfobNdytHadnCWc2q66lwOKCi4h89b1ENb8vsyT9EMaZWYpemJievfFhPDjKtCdftEu
vdFVb0sVX7mGFT9kk7b3oJLKpwI0z20GY588O+WbD0Os2ukw0oYPz6LnRx9sbfIdqcr51kkZcvHc
CVsX87+KlF6uCc8uvf94QpYuOIuaSFP42CUR9Qm7l2TFlw0up1a3P5O0TfN90DeAlPtgyQyBx2qP
69zk+VmhzTfnQ0n/7zQkrWFCteio6DAdKwwHuNWrbcNsBdxrnWCw55liw81LmPfXuujNEMeT3yOr
sudxzs+xdvAqLCVk7pVwKHO0gZ+s1LS3dV6ZJ2bSRIcXvXNbRP54iZYpeZznePg0wJP5awz2fxrU
jzSoyBXpWP9Pa3jztfv6//5KI7v+Wvz8z/84gl8oaeS8dca//qV/ilC9f7DPQD1HLp7lgSHj8/6J
j7JgRDFIXWbqaNBe9an/DBezF3wU9DAGjx5fYnG0txWBnv/5H477j0W1Qi89cJntIHP+d0SoyL/o
5P5tPobyDY1rgJCR3DPGFsHS6/6bOi1xEyzEVhufxpqcMIqwSr6igi4YimM3nkZL0DJLg3uV1exU
lhkB/mztSyZmLSbGQ2MVDMf9KndP8+wJ8Ja6modVZ5rjbc8DJfYEuk/GLaHOzRPIPnbtVK9RCh83
p8+o7Vbj1iqISslDenurvjBnSPKMSUgicT0MFkMzH2eLXEmQOBWw99xzmq1eVI8wiyuaTS15wfDC
jfpbAInmO94QvelgYG+j2YSjHau8a8El0czZWJid7cvA7uJNGxTu1QAcj9yz/q6ls7DzWoahK8xE
Jmxo10ruVZpOtwDGu+smsou7IqWw2ZJbZlAQ+mMkV6U0IxyHqbrLpdKU3kONK7eaDhHSrJOtmgQO
kr8fE5uUqbhKqp0spbu225i3YzdAnd+MkhpHdJ79BHrUJoSnye8tmz42EOXniA3JGfBOsKHT5dz0
dtocdTWJTWzZhMLPLTwM19uSNInLTxn5jeMZ+bVTDnfSxFclczDkKzV68Xfqc7UXyFLXuKizC6so
KMjdsb7TDcaCVR8n0RUvTXE9xCXR2vhg+ktz2NZgpK5D1RQvqXaDnUbetWslOpSIZtgdIunvMgwr
jMWUqa5BWofb8g+KlKdAGEtaeAE0OJcnYOK8ROgg3adN69xBCxovHOUNN3SvaE9k8bcU+edXWbmE
K0XjBfboaSOpnlYu/TbcJMq41ZDD7vMmK3Bd5+01qWLxuuOMrMMgu23ytLs2xqwnyTtpP2XjHK5E
a4/XEz3EDTxYe2tJvqnBVgCeTxg9zL7Huy/3a6qJFLwzH5umzRbnsHXhxLV5msz+R86fP0e9yG8J
TeGVT5M3uPPokt76LLTYsMMUBAS98mthYKtPFa6GjA3Jfjb68s60uaM9t+8u7UwAWs7tlWocsbO4
7a8qBMpf8KIzdYMxFZ9EGlsbumJ5jeFUiw25KMMe81i0M2oYX4jCT2bsXmnd1hRBZE7QKvHTtZ+O
eH/KHA5Vyz1I25fGWR8a3dqdu0cDV0LczuQhTeYu9C4EwXRY/crP09CnN7HTnI2OIn9qgk2Qizv8
L/m29NX3VnnEzKbV47RoN3K7fS68Jt/xugMuUyT2hRQ4oMvlSk0/jChEXWohCZl780n0wGMBJoUH
NWjjagDPuIXLHG3g9XxhMWzP5FcB8YTMgOw9ksepbsWjoMFA59xrMc8jZjEcm8fKIBE1ZkOf2F/Y
pNbbniitfU7DkLL2NHfJZVeA8q4hxsN/uy5DbGwCpjJ9rwIZZFrAtVHJLhsI7hXYce780MlvlS+j
I0oOWrk4A49o6MbbYsznfdllzFMwjeznbHSvRKMp8AHVNZMgdQsT/HA7iO6xtybjYNSTvB6EFZc8
YFUrBvMedIbIg01t4c28mcLBKQCBy+ui8b9VdSW3rjsHDynOpB1S6owGVBLeTMTenMEnfS2FwjFc
Q76eE+urq7RcIovM7rlt+Mk0JdWmUbl9AXgHG6gtuaXNKCdzCEB4PsX5zcSyu4rJyVthnGCr45XT
89wHDJlD1mcNjesymcbpOZhGtqRFYtb39GjuS9Ol/eaXxbmigGYIE+CNuolkaB0dhS9vr2yB4SiX
2qSETqujyjRNoaTsEJ6qMrjrUu9FVTAEQAgzqYv9nBYGsDxSEl2sfcotiypciwQtAuZNAOc0xhKX
TK2ZprBvdwX5klThLO7MukZw0PBULXGYdNmditKMe94tRv09A8Y1rWJo0qDK4sHGo9YA616l1Uiu
c48J93IUjXs78sK+h0/GI5IN3Hq4pbX83FpJc4rngqQ8ZLvyW8fdn6wtRISwAIzQEzQrlXdXM6vC
qGaZzanCOXGqp9DYdUFaRgdg7seJkeY5zvv8nrYiYL9GM1yLYRIO6wDA0xemz+0W7lhxsJIo/gp7
1SQAwG9QNkUw3C4jB5juynsFCs4DAmmtcFsOjtZ6xRzKuFUs7S9lJrCHIZ8ZrjrdtjcT8CqTXtqE
gXO2SmCGdLpILEYY1D+Z7De/1o2ZfOGdHJFYVfRX7UJGDLUMXswxBpcYk7dyZ1BSPxkEaFwXYBUR
BYBKWUiL8hW6mLwCGPuFxRgtVEZZ6WOxcBpb6ocJKteCbwxCziICs9h/7Be+I/bo/IeRmml4Knqb
KbSrkuE2rIX7yHsk2KpXUiSYHeCBnqdCNNxWHB2bhSuZ4awTLEbkbzBF1YsMCJhbMcXGTfIKprRf
GZWvtMpcwRzT4QKxtINiPgZ9nf0gyjm7UwN7szYnAi+B9XsEmlJsrCzmYVVVV5/nV2xlOywhevZr
oN4EO/9KLSl7ciBvL1yS94B36l35GsdnRERCM1Uhpa+xUn3DUJfNgbOk+Iklz2+iHYAsa0n5618D
/8gEVs/BawwgUPz+qF7DAdPXoMBgyQysX+MD/SVJMH0NFTRGp752O5UfeebYQJBTAg5tEmO94psH
W8f7L/bOozlua93a/+WbQ7WxEffgDr4GOrKbZFOURHqCIhWQc8avvw9o+xyZ51y7PHeVq2y5SHVA
esNazyKfMFBrVGHxFluorwmG/ZplGKyphnRqjle8RR2SaJPsuT0DHbDYeGCvlg7x4F190qPO9u3K
FP48rJA6yW6IjANihdZsxVqQssgEvtuyOSZ6EY3GVe/bzofbrc6ZNhDR6KxpjdOa29g6JhGO+Zrm
mL4FO8ZhT8gjyqLyKZ1lVWw7GlFSupJ6+c6a3LgEAgIKxpVXc82NdCISJMs1S9J4i5XkFg/ccH6L
m2SvzR0ROJA4xohVLmoxnV8GqyGjEhpp6MnQWlhFGbPx6oywiro12VJ1a8il+xZ4WTfgd4gmKg80
QfxnuvSpe2CAMz+4aVAP3iQj/WVQAyOqwqp+wSHaXS3VgWNJJime+7fwzXDN4axGQSSnu6Zzqreg
ziBfQzvdNb+TxWLxaV46Qj2NNd+zb0n6HN5CP5cGeDAg6PSYhOm9WPr4qS6c25BgvjIiMZRh3XZ0
UZkXc6euZqfEbe+QMBqqHBSOpSp5x6BD27hAWPe1TWGxsZrBfEUyLxGIrbmlhblGmCZvcaY6eSez
p7exYIoXhrdtJ5ftiCKFqOps2C+m1fkLPPJdL0R/1qHQ2D2JHAQhrKzN3nZQROAk2AxrzGpqd82n
EDLWq22WwW4o10BWjibhrFUDZC9aE1vDt/DWILBEtYkbMlBY+prJN4wyID8wQBabijhzbi3GeClR
dXzJ4MI+YtKOyEMgKLZZI2Obak2P1fGJQCAkijwk+S7Kx/DkvmXNFg2xs+5bAi3+hPSpRdzebGAX
QaKIYqsLtlUlSaJck2xTTa9OI/39mU+YneWaehus+bd53HVs/ephFyqjONZZaPgyXb5Ub6m5GAGb
lxBIyL1R1wBa1mjdt9bvny75L7pkyQwffdD/3SWvydvrP1UV/9wo//Z7vzfK7gddgI/TMdMZzMbo
a39qlPHmMGuSaKJ+65BXF9XvHTF0ZvpWvA4SfL9N6trf6YhXRdrP/bDCXoACV0cZRx/vvFc+9aJz
o27gMQV0crmIvJkZ6bMqIDkS8KtPSkzzdeqH+msFHO3009fyX3RltvtOI2oq7rAIr1xC6gxF5Pc7
3VXsxOyyWbaslfdywQaz7DTZ0p8seeX6VheJQ1cTmbaResfkUa/nlECSUhbn0iznTzyCWKZys0Xy
VKbAEzZKX2mxaSCn+yZma04nXj3D0WgWSRZN3C83QezM/bZoK7k1SLS/YL4RB94l0+85Mqf0diAp
7rsDLKFHsB8vu4YdfrtJcF8+oPR3WLwF0x7/FzNah/dbcfNFKG0Gp9Jak7rsYirOvE02kQH50C/I
cKn7BIqmoteM44wcR4f0a2pFRSgWe8fmox4sPXdeyjwdOQhH6dsQGqG9GxX6is9r7xZv857EAtQU
kWY9R0LB3d2okUcD6g0jJb98zOtqvK+l00eAadwxvF0Uu+ZdmYLXexhDYe/gQuS1uYnDXLg7xhCd
8KEhGNZRN9efDPVIOU9Tk1bF3q4FdBgthbZiIwMhEEBvndBHjrMYLnWNrYdEN+R2gCyR5Xj4mhMX
cjc4c7ktxZIhF4JAVW30sHafWPN3Gn7NEepmUTv73l78jj9tSjE0X62kHm5hyhCFDd7WgCtt6Ncl
lqU/BsHAhPzKNCnbg90VF5KTs72rdlUz0AcOmV2z+R53tVlX93VEL2N1FUylro9LD8FpcB0oIj+R
ep0+Yb9KKQkAbxms1qGtpNZ3rZiSB7ftpk1NeDlQBk3tIhR5R2YpxnNiwVoF3lH6sdMURzr57mQG
2UHqevYQZUl6HaauAImnhRQoY73X9NE+tWVBvvT86BTNgOpTqfbVKtlh52nk+JNhxMc0tIkTHrv8
xhFZu11tC/Du4uxTOSBDqZn27sOpVF/tkBXRpgma5J6tQP0SDroFX6iaBaFnLpqALtG1UxEB9mUj
uO5l22rej3W9fDZk9pholXy27ZBIR9RlX2NsjJ9tkGZQp+nHcaSRFEHU2sauIRjQ9H2HFeO+LFOq
bxXtzbzhntC9NEu7TZYYJ0IEmiGtxhtEaxbb7TZjvbKQKmSHAWEDoZkeiRK0L+wh9eeJBcGtTkox
ot6xO6LMzo481JWHBrB9bHFI3hmjBYLbyI2bER3ZbUZI3AGqhnWtYBvd9kOVUFZEyTNHNMOe1Bs3
PRlTBybgiBEWk3iZsCMiNmhC5xQ3xnJfW91wzjv2PHkMrWYTVK7zMCcdySeYG7mtkEl2cWlvr+xU
7GRDJpI4ZFMTaCzT4vhEpr1xRwhNe2Y+FH+ZWvIYoWqMlM+ory4dANnHPu1HQF7g+QzoTlttitUz
a5XkczPY3U1nlUrbTj0xlbgmF7nT8yi/t4DrHkGPjEiCEc+KRLk7XIDWD2toauZT9vxlSiTyHqUd
i7TKj50VXIiPAGLSR4JEXraAehEepapuZmuFSCpjU6Vm/60vwP0ZCKgOgs0kk7mKsZTeDvsmLpyd
jATOo8muXyvGjDeiHuNdZs5oLAtzvCalVd9GqTsfyoaRejCP81NfxgvDLX1gYBAHd5CY+y+kHOse
Jpjc5zrpfJI4k8OYUYZXZkIfnfdl+qmKSf7jsHO1aGONRiOtvhn0wnt0XVOL+xF8DWQqyEJ5091D
Fi8kbfxse4mk3HFbS/5YwABoeDACFG+C3b6SKGKmdLhEQX5fDZ26laUMnyQAROR/qt5NxqwNGzHH
4mLHqbioLlW3GmDF6zwNsMf0dlbnkqwaqsbpLqt7trM6F+qp74G0LebKHgjGDvIfmJMTq+LCD10E
qHwZxaWvOyyZBrcaMt1vNNsCBVabOt4bcuA80WmBB9Zu/holIy3qqK0Bk32bJId2buvXlPHkRCrp
iWcJcyAgP78k4KiPGYDlfU319qgTD/oQOp1zy2xp2mh9DUoSeFn9qS16dTsBcLqgR9JekN9AiNP1
8SGLy5o0n7J1zsU4zt9mhCKzl4a1dSgKazxpYT7scXQNt0PXGCeZyWLnxnX9ebSs9n6yIJvPJkmP
RjxFV55sZEeqviTtp3B+zDGqZlJBWlIDVPhtTKdka8aLguxcIc9ye/LSQJ6gnuk8reR9ekprtaML
7wXZRZsBm89dndEMiieE0ouWnLLIrOHSF922dKry6Fo5Q3TLTtIfhakTTq6G+gvdu21vzTLMX40w
dPcFQ5ELOQvuzeACIUQb2ZCY4B5Un0p2xZLnGzuhLrvtSD65S9y8vaT63G17ty1Pdal1F4ilNvTt
lDlVhkBFG4r+C3pUeyMrNayCWW1yN60x9tcqbN3zQvjRd2H0zG9UH/O4VnzHN/D/tccosuznGhz+
fkq10mTexd58vWlXhLYs8LNwdJd3TloYt7EICm5Lw+ynbjYjCoZvtXc6WB6cEyP5VFJpNEyEA3hT
6bgvKcvgnYiNF8Iey4sWFtZHNwxbIKWTcR5Rp3AbnOX9XC+C/J3ish7AUw15Zr90SIEY+/kqqeWl
d7uEXoWAxyaCblfStnxy3G7YTgzEd3gqLdyjSQE6x8YJa/NwzFLSzMDBV8d5Ee3VsULzaxc15Bsw
yCRkYhzUR3ba1SpSlpDX0NhZAUlgXq5V5j3dJXIGOUzqmoWFsx8jHrKjMM5u0DAYJZlUXGqIWZ1J
Rp3qpAtfQ6u/Rz0DVNwfI4TCrma7jj7Na2EZgh+Y23vAd9V9Olf1IYmkPJDhUXgLGm5vHAm93uNi
dL5QC8jHyWDVgbDEcH64udY/5yWo4CCtnhCfsw5IyGiTTZvw+QRTWeqU9oBAlcFf0iXRaawa7Wiz
4SQoF7QD6D6tXr7GTPlhXcXBeJI9dK2Sx9ucuiGnptnu4LpZ9wG16U6PeVj3Nl3gbkTemvhGvVB/
TNyEb42wr/22bj5jg8nvBnRllRcswtzzvEMkbPapn3Uo17RYdw6SSMw7HCoTTwUnfqZAs1tPY7GC
aT049FUSAGJLFRN0HanC0cpC3ePMzu7HsgLP2phTYm0cUVK+Du28hQM/PtgN3e24MLW1xVzcoSsZ
uU4Mu+HkUM43Ct9oa5qpZEjPbQUswEpDplIliFyK8eMgsvCTSMvsE+tWd2eG7UKwYFCDM0w7dbOk
NtUK09GjcCrGJKFIAAWkJU+wjTsEx7gf0KBMoZGckg6K2iYe9LinxAQjldcybL8bOSNuJPRpN0MR
2Bi1e2ZUh7y/c5uTlUX1lWR242KazXyr6kb3VRoTchnWCH2LcdmGFP5PC310YtqPoR2PPtjW2yK2
dD6lecpTR/8ldgAQNmSkeXVgozpychse3CCPs4Z6bwBL6te9RgagsbyQR/oaO9rVrZDKA5qx/WzB
9dciu/JYX497YWiY1NmUg3KUN3GmA0BMwk8cFmPXo4VDt6d63yDtd6Nl8d1gxsaltcxnvTWJ7wWT
wrwgzfw0xR5W5RlfTD4qkMlzRY6AwdrAMVcpGEkcuCt2QO3mkxsPdxGKkM9GU8BuQ/IAWA/p6g6j
ioTqOpGjnKJ8Ys9GxMQql0Xfxdw8Ia5Uk9M+iRGYgM7dq8By7mCEAWGxi/RScPq9aK2zlY4VPOZd
ax8qLZiJYGnFJYIc7Q+sB7FONDzm2ig+xpXj7uYWhQxgO4spHZZnJovhLaInnuxpMt8h58x8Im+2
8dLl9AkVSSyMkv/KkvOfbamNVBqlrGmg7aA//OOaNgrMOYt7Nz4m+SqD1iYHd8nicpe2iOL+aIIZ
/1pRS8HV70X6FybKd9YjulJbYhhFLo+nDt7Muxdf4qKx56WKj/pUNl+XBDBRFWfRnYvK/uHPW+B3
rsX1pQzQPQYEJuhiznuyDdlciT1FOS9VEdlA4IMLZq1Awf79z1/nvW/x7YVMh3AU4g5JE3rvTEtL
VH1N6oSrt3veRcxFj/YqIc+KuLuvgaSo86AiEXPQ85fKIdWXu0oY3SFiW5vrIOLdvb2lf+ZHfzE/
chz1pyILryyK71+7+Gvf/Tw++vXXfpseOfoHBzEEagnJ6ASw1b+nR47xAZSDI4ThIKdAgoFp9N8y
i9WCLFdUFG+C//jXUImULvpouDAkEDj6aqL9O0OlXy2BP4+VXAzPSgqoW7qD2OK9+deSM3oOTBuH
sgh1X0ZxtiUyUHlW1z3NdvrqCqzeVbmAxesn5aXsQCDRzOmJsrKixnYf3cFNT1rWpZeJsefAqomn
tn0r64b8a6Fxl08GBaPRhNTdM2IxjVz4dVgZLBprZgT4TT1l98pzlLy+WT5EhP8lQbW61WuH1Bqd
19RCgbKQLZMnBFunJG2fhkw99rCrgeWX0qP6f0XzK/yMXMVNymPFg2PfHKuhedJdVIQLGuRNghNo
mwfOZ20UD4mhvw54yPjd6ikr4x8lWmgeug7Vhy2v6CPajUTqzP5o6raiqZ9sPAibDp0C3QQfr2Cg
5U0sA30WbuRBusew6Lpt0PLVDASqhh0Y0IVqWqbatLFRiW9Kt2l9UfOXZqhNNmYafuIj8DUIgNMM
K/2g4acGyg7UKKa2jQL2V33EIiExm4qg9TDzbcbxHoKHK/P7brv+JiscdxMrGiqG80QIzHwFVWaw
SOn05RqWDGcQj5BuxUtmIWI3ywR+Wow4FPqaN/TmQRALT892FeA5CMtVWfyYC1TItdFIKo2ZRTNr
FXqPLPwaZEgoQPI8EqPRbdnxUysKtolRnnCAMZusMyPJBE61j4EbpOca16GHDIQx3IIWjfLMYH2F
8WG0HDoU7fHtJCFxC4uYWbd+5WD9IbDsmg8Y3xuhHkcXdymyFCymwroOMW8qTEg/N7QVgJuwTaJD
mU4OJe12qPht0fGzEN9vY8irfl22cusMUYIB3J74mjix+izncUwmLOfzj0mlxgbQC0nxY/yKjZtj
v/An+gTY9bpW+GPntp4zlPwOqbYwXBnSSAd3jahb5TVt8/R2vJG9UctknFbdyOcNI04ZRzESLIkK
2vS2m52EHv7gIuestvlZ0tdXUS6nCnOJ2AtJyfmURfzRdpNXQ1+TcCa8HkOVxrc9X5djOo/zwpEf
a64Tx8ESAtZzuWBXrDzltE+Etlee7XCE3Z6TyeVqfPsyMCIPGLn50SrNX/NylFvmglg/ZGsRKM9J
y7woOM3gxh/ylvpfViMDmAZoh9FV1W7JCfxo0lL4hMfzlYqB9xBGhLO3Gk5+8Ltn4vhiD9mD3KYO
F+U8GmciOYpN0ZecZcUq5x8peFzJhWoIbgTuEGXblKhPDHnpD5K94+sQ0Riul5eRLMtB6CBXJzNz
ieulAC97ZIokkbe+GSkk2pEoEPwD5Bj09TJM3dJ7O7baSvfVAmwlQ7DeQjgFigprlYEO03s7y9+G
wmXVqD0J22Rl5Zna2awCIUNxOr+dAOsZziV+Jcmt2BsztzFUn93WpOWh++PQdf1ocB1wGk0pa8sB
F8wL8bzawYr4qIvGaxW9Tv6bMrh7WfFrTOSQR1TRD4aGBrRUrh4B4d3LjU55pGAHJ9H0xdmJxXRr
TeQwjMmrFsZrctpYnME3p9vM4YoABgzM2uI6BfihnwmAUzvH5iQjpbA4ay3U3AXXJffe/KVouTno
7CvRpe9VlOFuQS12DvRx8MzWAOzcIStrGtC3tWyb42i3LmAc0I5TnIuDKCGKaIjnPYcafxuMHDrN
IeUk6OWVkbu7X3R8XVXHzaQyh8GzsDd42JNib+x1riImC7hvuYPlDoLxt3uTVFQ0bxftEKMY10Lt
kb87ureYHvuNZV7lnMy4wDQ2yKRZ8NhhlT7XE9YGO+b4lRn59LUozuhpJ/aW6Q8Ad3w1M1fA23cN
IxM3JhocmGgcV7Ow0605dfTVVJKMJyxSvDMtuMeskPt2WTNDCuoftcP/znuCCgPWnWHM/cSkd9jp
TfPVFcSsFBq44bJ2PuesNejronttBDZdYp80Rjc8zfHE9kNj9a/7dj+LrQRjBtts0uzeX7LlF/qV
dZZLRYCMztVbjTFFk7xK1CI+QHQFBlrIR4sUQZ/Ysiq5EO7dn+JRcAgNHBgB6mjd7LeJqNF3l5SE
wIXtNUFLz0Jn17TTgIAxBTIxzappt4sZVbpns1k8VUH/ouEg/cZU56sZ051uQmNKf7i1oS02d4mF
9Sq3//HQgXvZqTydVLVptBqYctJwzSfmoPkhjyJfkod+UWO5aLsMSR9sNXpS58jOvs0PHfto7WkO
UftGPeR9JMDKAO/XZGiq2QuRxWANtpy3oSwC7YHmKj1Fjv3453X0+76EugadPf2I7SBVV++JGySM
ywWjeU8MyzzvV5tSnPJwMQr3sW8YxlgdV52Je+ovWpL3i7K31zVZ0UnbFY4h3sFUFN3hjDuzP+ir
nXNivkH+TvqtGDXSGKv0x59/yvcN0NurObZuS1NXQr0PkFrGUGMCWPQsqDhB1kpAofrZwnEUv36u
f5qAv2gCpCkNjuH/vUS+Y372c/n/2y/8vj0WHywdDDOFtYPxhl3xv7bHrvmBmlvHpsRZqnTwIP+u
/8kZcyw0qjzd6XD5tX/V/4b7AYq40Om32QSxC/5bS+X3ZBgAKGqlytFKoASnCTD/2L4HoxayRrWs
4zAJSIwywX4ZZVVwAqzDU3+22i+KxzCbPBas7AKDEyz56lmxdflkIcd8Nu2k/YKYuf0STlgAfvom
/8ve+f1FzLuTgo/PG6R9+g9+J/7GhqeUMo9gJ8oX/ArT/ZtVFPMYC9w6zuY90qMVKVaybv7z1zbe
k9kIBTfQA6L7tgUMUQKT33035EtVYI7rI7fdpxyHpNcjzlOkEDTlqmKynDMtfAHhfLadm8lUMTaI
Jv5lWorlm4PzdCAvZDZOYRa229Tus32XNYR5NXVpX53IRV7FEso6BmOOswpj9s4UlYlytw82CY4Z
3TNx49xFchYVNpdB9wSW5HkzohHw+x7RIPVdpCHK7ahoh8SWz9QkKUNwwsLwcpY3TkswaFNm/UNU
tAXUGbNg3N4ZbroLa6UiTwUUxEZsrsTLRtu6qfPYM8/PPDzTOKocuypumWaGGNi1cYCMbwyHGUcP
AVnL2kyBICFWYRxQagZ25FURe9tcTvNTwdzf2lCH6GdcKgG2n7n74kL6WIPCslFshB6tezvyC+Ap
pDP6zMzeY7eMSeCQIyWKLesH1WvJVbRE8oBIqMmOK4Xtl4UjGh8KgtqOYLPiHagMdHTMbe2HKXBD
+pe6trMNj77uUe9LEMSdM/ZE59C5+IUk3hUzqIu+0hhJhYhtXexyPeX+WQRdyuDPsitdI7FoMW6K
qUHySOIDNlBEcKg6m8XksCKoPViDlKw/GFNvmP0/OcnsYuuzi/u0aKZdC3cH650F8wGwCRVwKFCh
0iM1u6YbrXsU19qe0IHwWx1J3IIi3qluGHyuVHXEl5s/LBJzI3FMfXIiNi7xXatzXkBEVYcFJ8JW
ZVV3mOOmhGAguxBuRkIv79UDZY4HZ77ds3jQbyihGPPj1fxsILXCUhqtY2fHir6jDB7u9FKfoH4U
Tv5dOmZa0vNQl9ZWTJ4Z0QpEws0DRDkqlsZOfGzaH6MQieltn8Y9JVKCFm38qDd5PBG14RQlLjkj
qKHrweTQSebqePTBDYldquRkL0U5fkvTAZLpkCJCi9bcvEFc2lo18QtRhFl1UMVgSoJQEbEs/YLJ
TsDpfrLRBqvzbMnyZUHO3lPl9RPhf3qtkbFMkknmNyTxEY3WlWa87XoIN9sycOfLMFOd0p06nb7t
ByxnH2cwhMRvDau8ng5htdwVDTTNpo/C6hcMdMwxU61YF03gqOCEjak4LChyeRR0xbmJxpiQT2GU
L23pGDjr54xTfRLlcU7b9IE5y3ozRKCA6i8u7pKlZ4EIEkR5MGp4NTpFmqyIrKkmWHScDFYbtJto
MFuspTY6NqKbefdTuMJpy2k5xOVYPTPnLZ/HQSJxURYNro950XAJWO4nbdOLqX8VCSPWCyo6C+UB
Km/Qg7IqX5o2U5b/1nu/3coVnzyCaEhb1SUu99EUCsstRpDlc9ZiKyu9dISSC2w0kEEGVwkK4fxi
9X0jqpM7xIJ/paFSJucRkhWTxlbHp/+E5D6LaWk1q3jp5y7n1EGVcFM2i31b0ywP/lAOpbYbe4Je
YRo31b52ZXa3Eu8YjpQxg44W88y1j0N5ZxIS3mxi8n/uGisjMx34T2n5kB6HIxOaTm7oPqP8nGuN
Q4/KO+DczZGqA2l0CThCQs4wxLCC3i/axvmFJeOIVjFuUuUxASl0v3Rt8gH7iLjyTVQ743OpE4YW
2aRr+a5Nlxngf2I5Q6eSkinz2urdJ2MiLHtQKrH2eqfGa29nBuDF1AwISWOchWbVjSnwZamQlltJ
sNOZel8iYwiQnROqcY6ysXmUaT8hfAVR8NUaCpt5j6FHu3JMt4kstcXLdGs6mxjyboJoiM49uSjo
w2syzqbaraytOzU4QZi5HZWUmDk5geDb8JxZ+Mhq9k2FFQ8RVu6sc7G2dTd9KWWymTvE93vGPjN3
v8FOGp/7OIy/0DKJXOaG3+awOt6eo/8Ujn9ZOFo2xd6fFI7N97As/lg6vv3Kb6Wjrtsf8ITgzmP/
9zY8/lfpSKX2gX0EOn3LpOjnp/5dOtofpE2iLYQ04UCTXaWJv+kRzTW9FjcdsFybDYMt1N8ZHVNu
/lGRyITasFA1SlSWPKf/Y3Sctj2Qbowc90nKjYXRCqtxHPghRAYVVKZ5NW1mi3t6dTZkQQAUGuog
/T6qv6Ecp9ualU5FOlmNPwidV2c84NEA2PPFcgeNaFgbRe6mIrSb1K41jabLavEtF+ihSZhvC6xe
5CZCDpe9XhIYVEaSVMF9qUxgZVGdnLB86z8MCC4lOey1+6qt6TmTTZvupGusYBmiO++c7IGssWAf
LsTvGCoDoUBIHYlWht3DxZCk1GLsrho8zoaJYV1or+6a7pNj0cczzXzRXrN/4jUFiE1zfHQGq/+F
lDa5pZxTxPcUdvTQvMUJtWuy0ADOW/lgZ0B5GRWfmCqO0PBtW2eVr0QU3dQB9dnwtl0d7dd4HLpP
LQST5NbCiu2jZ3XuwOoSicS4IYq9zJ4tr4O6Q0qamtRApFgXzx8dRvhEdATV/BTMJZGEQg3IdqYg
/OiYBtkQbYmLwZt5+8fYDgjcHafpCd2Lbu2Zqghm2cawVXbaFp7QE4LmHNDnFIWxUX2BL8CDMaxB
KIATyE9aW4iVyOJCXM6DhTiqdHQwaoO/q6kTY24+zoTdy0et1za+nUFZpXis7Xs+iRQMdod8wuhF
eFYseoPHWmOTHptEPzB3mRAzydxqY7PfjaFh+1Yd94wDI+daL1SnmyJKQ1/OXXlNbfK85pINr8hr
/aqtaV/FkNunwERhyhCCNLCxUpgbuWjIOl4Dw6IZh1HKYIoyaVcXWnU2WZ/PF1H0LNNPGORGl8Eq
6bMuYglSOxkA0zRV92ZaR+URLpxuboQBJA9Lpxvz2Orz1jyPAbm/ROoW9HCEWulkrvj5wrd37duQ
Y7Xog/Mxrwo25Y7GqOVz1gzMn6yS3n0mWJNCQRC9RE7phPfMZkdfnpIyaNTZrsLoG1jOufKSzCEa
IHPnXDsPVhy2XsBW+rYFpXnGqBSRTlGML8R64WhN27HfzqSCzccpnCPLa9Hnon0ksJ3cUPJVySMW
BPVtOuQ6usdWUesOqCWcXRHG8X08zfriRTUz9E3ZBDlXdkBs0sao5rjzYSX0IxGh1TCclyVGbAGp
xPDKiKPpV0O+di9E8UG908De3dvY21uvIajPuUxLPt6iuhJ79p69HyGpnTnjTG1FSTBjzzQnRjMG
wnmHZSyLMJUIu/EJRx6fZNyW+w5VaHgyRftAcEyyXGkbvmpgqLmmgDlMnmsleOK60miplWvwSdD7
5vJpCqBtbdy5jx6Xhfnk3sROWuz5nwQwK41NzoE70fwRIhdsA2nZXU1IWybtfSYiOR6dJDBAWlfN
D1J2P1lM9s9GbLXLxyGVQ3UYgUCWxyYAjuhWGs/rlmX+EiTyahYj12NgKnyACR4PVuVrKMJcJ/tl
MtxTorlsW9xRm6bzpI/0cUZbLLjamnRPlm+7cvoDOEccq3IXVkRVMesyrhqS02Fn9IywgezKm9Im
jtFwE01tNVLnIibmk/5YLWbsC4O4m01HamTy2oANfElQy33C4Ds8r3rKhqbRNLnWzGnwtWQxtrlu
a92xCVc4j9En7daOgBHf8ANmj2CP6nLDPANrDEuLJccy2mqEybGjJrxBbJI5o2uaelpE2dr4qSy7
Cdk/UcbiV2zIjA46TBdoJqy8Ny9lUfUujpcge9Tn0PgMUe6LySkMo7CdqFJUIeSBZA/nakOf8ENy
hv1OAuhxFL3htgDlss00i2hUiDnTA+5L8zbLZT9scmy/+oXo1PKydIud7N26NJ7qbnoKp4lwaIaC
4Pj0OMhcbxhEx+plSKb+QkCgfrvMeovTusTXS/DuFF7hxgeNZFOZzct8yA2UghascPJ/g1ON89K9
ZYep7/6pp4ou7ua/qKd0FuV/Vk79/+zl9SUHmPsrB+H47X/+36+/8vskjnGbYtEOplZHV/E2bvsN
eOC6H0x26QbTtN9nar9v4g2L1C1nTa0QzJPtNwzBb+WUIT5IaRoKZQhEP0H6wN8pp9ZB2897eP4W
l50Sog8JVYXS7o/DpgRZCbsYUzsoTaOlipN5OfTM0x9/+k7+y0Tt/cB4fRmHXDGAD4ZwWWf+8WUW
vWWbtwzaAfmYDpMyn32jF+5djiH6r6j87+rDVcmC5tXAEEoVZOOT+eNrcSwSVg1GcJj1Ut1xy165
RrpxMhcx3VcAHv+K4U683398izAjbHw/OnoGgzHpH19ySlsLWkRDqt7csBRB1NudWQLAAiq1vLRI
LB/VZ2LZDHST7CaAKYA9YdHEKrTY11YIeXJARc3CFQxnRbd4UOU6amSXAiSIOF4W2a3aA6pX+xEs
3T63Z4lCclqJS3p+zdJM7TOt6T7pHdgmNbCy14I8vg1mOFTcba3CXyvS/VyL/Mjjet7WXZtfeVYu
3xXysM9RajafnSq8iH6OCcbOCg9NNPMH3G6I79g6eFFi9FfZAhBajKW8Q1KYfJKCnppswWzH9q0g
RhyHX18WI9s70AL1Uktyl6jQmnoet4ze6N07o71x9K68bSoXLEaWGi9oDMlVtsfaX8ioP9SAbhAz
TyqwPXcFiLZunpNDnU9XVS5RTygmS69N45o70crmmfx2KIX+FDUrjtT5FU66TndBlVIvJTun4A4N
V4fz3KO2wbgnjLx47Runek760P2SAJp4UKFgNInrUX1L3JZQU12tiotcziXh6kk87bCV8BARrhHB
TCLrAXyOmd2xPKZOs8miODv9iBoa4f1nd14yGo4YXKjMOPeSJWw3ZpwAcTT0h2hCTRhMyfwQoVDY
thisn3OnHHYljFriUW3NQg9i59+aPI/2TDe/zk1SkQTvWjehcnsUrIsV5duWLyfieXWps5xnlSG1
q1HEy1ksAQugdkIkaheD0Pw0TgIYAqX20cRSeQxMYR6GsWi3BuruM8TW/lvY2t0rimloxEsITQEG
Q6xOfAWtHwX21xqy9aiPzW2RiWEzOdk3wVSCbHGTWR8WmRRFiWq1mJMUR4YGPwg4Uz55LYt3r5Sm
YOgLk8OpupsEHAF6l45yyxZu8kKTR0qu5vxikIzuR6U9I1K264dgzOSZB/69NY04n1wXYJgauHpg
VwwXwpPlNtFBFuaOtrMaBN6pLJbXbipnkB6V9YpDIL3DlyP9dOm6Bxwgmld07kNdq3gLpvFJ6xvj
Vi4RpPJ5aW81Z8E7qpgsFoUCqKWrYTfnRMSO+RfHCEp5iFMXBe8GsH00fy1wFkjYin1PIkePKh4V
ulvRcSxtAk80zFMQB3LVw88ZgM2zO/4ve2e2WzePtelbafS5CpqHxo8Ges8eY8fbTpwTwbETzSMp
arj6fminquKdagd9/gOFqsoXf5ZEUeTiWu963nKeznAFSWY6esgrm6vYMJLlgQCZxu8VXTFiTBiI
BrPhWYn86PZ5mKC9JzsVqvEYzHhfRa+NVt5r05UR6wYsT/diRTLEZ35Ui0+LFqy+cBfMhe2dVeFI
XJ8BVQp3IhcZqaKkkv4uKYizP6vC4ydBsyqQoh2JyFVT9fV4kwAzpmes9TuRXkSxoegmE/HoPdpt
qhEkJhXUdDv2JM4f8mE0vF030Uj4wlmLF5XKVBrnqLZ171oBEqvq9lYkikc4YsVdpAAm9rCk9cUC
eIQmvI0gng2wJY6Ni/k4+EDQJrpvURiqEXqC5px70nHORxvPd2uavINdGYBqpmLOZk43kXW004YS
uOj0Pw5iP76b52F8BoWpE+zot3Zu4cBHKyeuO7g1cnx6yM9amGLnGXbHW1kNS72m3AJ2yggJfjvX
pZM5UIG1QwjWbEraZrZeG8l1LUwUIcacVuRx4+jb1PP/OmnUd6DBYqh9taERiGqsbifHbX+42ERc
ciOa6mW7zUVLqg89vZ+U6bafR/ofMF3+VHqZ/1RWHffnlMraYa9U3WoHtmJdILMBWg1OgEOIIaGU
hX35gIhjuoEjSrscsW9zl1QpODVBGGGxeFD44bst/7sc+xa3/TUKdD+sxhIFiuIkCNT/xj9zanZE
ZRVdJS5kDnmzf1OvyLL9w3VNrAXwToh0Au1fKTU0nOib+XGIV28twP9KqXn8lQehilKhE2Cdginr
//6v5+l/JT/o5ND86lqc/Pl/1EN100AhESCzdHjy7yBQ3w7d3p6LjwJJPbYvHVH9xrwikzJX1WC6
P/C+bvOf7CWxY27G0TY6uZGSAs9DjhBH7sTslDAwxOx5z7jWtfWl1QCmtnetoUlxRRca7JV1FMN/
W4VlkU73vUk6hQXZbX3UHlk8JcpYK0cB7V075TAvzibLB2F/orrYBhDUzdYY71MJKRZdPU6wdCTO
UWZr0jIK6b0jsMxhd2Qrjfp1OU5GGO9qlYsWabJAwWmsPw5dLS2d+H10EDg4tqUNnnxSjxSE348O
fvAWhgGL96MVtMDQ1ZoEKRRN9jBCI5izEZecLCpXPzuYdvMRN6OIW7NZKXke+lqT6f7jW7L/uCXE
vhTwXfymScdGp44llNymqhF98mKBhSquWjdLivPFHTqR7VN0XWOxgqYAMp3qYRsOqyJHAxKsMDBv
iqdmEjNd0cFAJvGczVzABcXBY9FKoYlXsZUSFM1D2qODmrb+UnT+9bIUFj8Gd5lId2UiDsKf4OOH
en8SwXWSQSatzIkHwQKpZBTLv09CgH1TBo+l/mHi+eLfeXVmNJ+rMm6Wm48vxBf1+/vkQhTYXbwO
PfrKOZvpwf1tts+ssfBdp/jF4W1bzrYtYwgzK9vkC5+cIHc/UXbxnHQ1+14JNaqFRKE+s9PWf7Mk
en9s0I9MAhudh4WsGmPuU/sw2GqzGU25/6JE2PvXXks/KoqlysCz7Zx4DCeD/99Bpl8h9CzaoCxU
Qp5eon5/dmRkRtDAi3su0d8286abW0A4KxUutHj+5Vrvz2H66Vi40AdxvMSnkOXv/bVsyLcFokT7
ZbIScqg/bM2vTM/ilur6edJ0eohxgx+Gv9l5/TGTCBgRT/AfO/RYdE8Om6STRE9PsXieTKQcpP6C
MlSfY9sAiPGXZzw5+emHjCwOzqHvAVuAUHgyoDk9pAXV0epFIO6rgkMWxfV9aUvWKHLjSZy0n6Zo
ic3qssnIyJtbT6XF8pCLoG2dFS028UTOmHp2dJtD93Pcdapqu7ws4NjTfTuMrlv1h48/gD9ejDZS
pCCDYY9Fi8DpgmZFRUh10ayfQbD03EVv0LnzU0Hx8r42TeU3zgbf1Eb+zTTxxF+WwfIi3gpnRZNK
En3wJytpbFCpoaJhfEcNb9nLGjESTmTrIGwhe6GLQBBcHvhMiuAJghdd7puu7/uIvLcx2eqYVcsI
eicNp0V+T2o08dBnUPRdeBi1/V1RF55+ntwgvQn6M4lohSCr834CewltgRWqve9k10nDrvJwlsuN
8KeeSbXMxPFqH4lW+NeGE2d8TaJ2XTaDGnsgFsuINOf8zASs8p++0B6CbH9uAQtSWXjd/HxbgEn+
srp405D4X3EqhadM83NQMFMVlEbeTt1Ln224xsSBN5JWsV6i6cZKuaA9T2V4C2tVTo/YqEARWUHm
pVEfRVUO12VlLpnf5Tvb7Ty+7w4JgU6BuDlGQIhkMwsNTyyWGz7/yPtaZzVTs1+anHvUqtCaHCs6
4q+FaFr6WwcfKNzDIp1AHWlO99VnkfNPRmoNOSvIKk3JeqPSBAvMpSsnRfq4zp3W4EPnPNrwMA1K
lDSBcFb7tQfJMrf5ScCSMT+S+YGo4EirKZW3cgwqNjO0tzlLsOjJjc8krSMubWRjxI+Tf9BXM5K5
9a8dugK7R+BSnjrEruqyq9KtQ3AHlpjqixQux3A+TOjZUUzTkMrQ4SNjzRehEimbpRlLvWd2YWzz
tbUhyRF73bh1WxTAk14fwMtlyqOS6I20IgULVgbUM2umn5gSvYiVFUW6atuJ2Od/sqCdofaLtsCn
8dfv6NrOoPiWwQxN10w5srkrJ108xmCgjsOlpzZlcUQpwjMlb6PqQj1k5HSJix8YR0gD5zWCLnxF
AHLoKzpGQNQ2tzEy8lWLsQaPx0Kvp0sDqCn/6RSQsgE1xH5efa7hEATBLndIc/mrFrA535SqIVGE
m8TuS96ZgyiPfwvoUBzsZCLhh5wb7pTNz11Furolvw3sqVx7upUsvgtL02dMFto3yvEsJuNAwZPa
qY7dcmty+LvZJ1rkIfKo9aerzolVnWwbo9fvPbAVq8C2XxxygdvG1qCJTe90Ln/iFNo56jwSCsHf
BjcBl09hyKk008qbyIC9q8eymluaeXr+IRBHfS9ulJJXpRkh4BOcw65gpjiL75P1IEPJ7eVVRhc5
bHcFsfhauCHzPxtc/oDJ8xxwW7lLPYeOUVUxgsOEfIQkRQgMn6MgIaB7yOXkMj6QU/QU1aG1OrZh
zX93FmpFiTKKjsprQseFKMMdM77zuZ8XvXikBYFYTouL/qRdkn24gEID4k14grgRhX9rOeoYkGFg
FFK65IE4o5UUeXWFCQDpzy017p77I6806FntZFkvN5iyLJZ3mMLSm3r4kkcc0rJIbdB1BnplSssU
VaVvkjApInqhdpIeCLBozG1YnonCtOXGm+nnt9ehIGvtbqOKtEVNoDA2PrYjniqQrXBk7yiUx7mT
fWqsNENHRKyu33CNp7tp7cASCWWcwTKF6b6a+k42QO9L0OvjRcHJlnuMDcG76TCYbDx6BSxaSMlo
5hxu7iKO4W593YgmmkJyRBlozS0LMcvNVoLKnTuMxgfc21cDcTt6vtj2ZXqInXzwQONBOnML/3kZ
gf5D9rIgcCy7KJ+QRaV0w09pmlwWTTpYwbWcyKsyebJcLymBHKHS7Io51vMShZNgDuHchCbxoqFO
z991thp6ajKew1IJNpRR2lQQ4cFMTqZhDd21GJEQ5ru87gbeUm25NntBM0Mr89dRZ+pVcGDwmbnQ
z2OpdqZsR36SI0zH30mkp6xLhUlh+jaSuY4IU3dADLZqXdwlxguZGqwOilHkW7BsKZhQimrW3Jzx
9sFwXoRzwkwPS7Fw4+lkDFzatcqJ+2e5ZDsCogv4FrCo1/LlhW6pN1kph47pOFHcagw25X5mfZjD
1HA/gVDt4SyyRHnuoe0kGMptCFUTACP1La5vkqiYn4EWcxr5dQ5h1deDMzad00T7gmwvlop0JeEs
dDbQYdPT74xR/AYzojpGszDE3V3cTTx81rD5z1s8JALuOIA2xShRKw/4sHM6UJg8GD3oEfw1rasM
ADyLjEuplX7obNKBs9/o6vaakjSblgVUnDF2gj7qMbOYy8Tk+6TDhS/XDemKtkD5WEF7bWcsuxsa
0ntprILFmv1vRj2W/Z0JEfWI7AlLJMr5XYZ7ERrCYuc3amifKXN2xkWfVIZ7FXOnVKDrNuu+kXb1
F1judVO+wJVe+s8Vad3+aVyscvxEg39JkgtBFUkhxxtbmrJwZ9O+81TtBaqDkUrwdd+lMax5vzIr
Op1KttVtHEoq2x3vCFgBxM9uoS2jVr074V1QKB3SL/1IqzDyg9KOgOwas3wEmzK4d34pZxepZOfi
NkVbHf6vzaqNeH4sw+Y4kWcyZScr18FSjsuCX025mChpbLRuF2TcgLD4dF2Opmm1OywBwMp5BGjL
MclJwrHx+TI4F6TfaB1xpW2tZ5TqsEr9RIoIAIMd5GuMOG2EHBAMDnSwStrkzBH0FhVWc2+NVmrv
4nayarlCJ7Nk6zR2POOmpW7k3iNwpui/N1t0CN02asxpOk5ycuSVIWRtfHYNVywPsmZWQw70/f5+
CVSCYXkpUZO2+3DykmVCxhe0/iaCLF/s40zm025p3LBCs1M0jp2uA0SEiHesKg/rlxRBo5o0H3Du
qJd4Dq47A/1FwQq3Fk/iPhLXnUerWGF66Injyij8axRWRlHsld8S1qY/0rCm2cpaN2Ex0MtieTSs
YK/nSMdIrnubh8lvfkXfJl5AvgWUq2oasRppk2VbaisHz457/Kbb1t208djHmOyYJjQBRKWBRzQW
myMfTA8+kvmP6oF87753qKuzrUQsJHzcXajDx54NnM8hdX29wlWw11lKMmOOrXhH0RyvDP1g7Rhe
oD81CEmxoVFsPdQccnYZWXsYf+3nIOB37gbgqCwB2B/ok0OQWwt3C02Gxrb90FWZ/xUJS82tWO1r
/xbyDnIN7dB5LJOeEET2YUFy0967tkcUPJrEbsY6mseWtSwPM71pwJSNR/bwCr2G7rnzF+cQuXZJ
SFRT12RNQdNh8qDEJSH5Js+DVMeCWJU2e/RIDZTQZKRFhgFqa5xoy3XYjRN32idpwLUROwYNGgrX
6/i7BkUTvwyz7ZhvSXhNz/0LiO2sKIVLC1e5tnOLVqRNDQIEkmLURzpejWLFamOjA/a/j2NX461g
50F9mTS5Ylukm1HHUnUb6JAljaBPRXvZ1L60fgKgmItoM5aWGsoV+yF5A8ol8cTYRmbvMfys4ajg
tyiNSff4otK71K8dzLUaxpEeSZ2x8CPAQ/XKcmKDgWzRykbNfs4qDh3lANVmZJnJ9R0MwkiZPv8c
CQzLhFwNYDCISHFT4Tc2FAsqjJMQM4dAiAyo2hm9YsQBn71qir2vZW9xM2+vkQ3T0hQxc5DHsIsn
nthBDMc7GgR5dGpHSQFt42YZczOOHhUeF3lxSFs/qcYzl3BUHZfA1lEs+iidfOp7yEjpWWvWOqgw
JZVKfJFshD9yFfodk6UiX4dpBJ1qfSA3cEyIUhI71tE8HbPorg4mMB8V3iySDrLs0o8DGIaHeUGI
TPXLwc21QxROkHkshas/EZDTOuFV5x0/ENMAQqBmIev4mnWU6bAPi+nNsPeQ9Eri7ORtd02VStg0
Byxx+KDAeBAF+g7G7gclaaeFylXmWNGhRUo4asdLUPMH/rn+aaKSfrkZyzBgu7RS7step2mgQ0OS
+HjKbSyn1Xf79nkUkurXscStg5faCxa+6tKZHJV8U1D9KB17FtosvmrI5UzTbCYmyHdu7+q5W9Z2
VF9Vo5UouUlKaMbDOb+gcghqxwbH1fVgKLpcEbP0PILZKmrDeFrr0DpSDUe+JIiy/kn1QwbcTRRD
K1lc5tF1Lt3Rwq5xhUck86wybX0IzOlW4ddYk34hMJAJLzl48p7l7C3zhTPanJ+QP8yT2k+20xVP
KrUmBgVbIR35iMRUxBqC9nWeNqNZmsDg14k4hBdAYDDhBMzpq046hz8lnFmwJDMMY3rG36dbbkxD
mebaSTGECjcq7RNhHEK/dYajv6ApMtbGaDH+1Jj0oRvYiI7C+snSh3z6p3Ugn7Q0oBxjESe8Na0Y
IlyfaFyM1lmvPGpLQeQ11PEIQlgDFqvjyHjWBbjYCX1+YDrR6Z/yixDe66WyZU0GtRJ4EwW9OpiY
+gfEI9QU5yIkjnr79GpV6tCqNKqIroi5a0rRbaRSQk+MetT5IyN2QDCvUCSEY/3JdKephn2W0KpA
oSgyYC1Rs8UqpjhwWk7aK59yrRYUjXmyj9N6Gm59zDnFWThMVnkIKaaLno3NcIkPnEkqlk4fZyl+
TeRixRrtc1iOvEkbKi3rzPh2akQbVfCVdjkeFNUVAf/grwWZK7vcRonSp8C3g0UZL/qmG2B3sIz5
ymbqVTLUQDAXYCMTnUMSFf01jguAzraZNehbH+qJnRDI+RDTBE0LsVtcBdrCgh9cZmbUDNWWuSZ5
jfhQIMbAhm7lG5lYqAykTl08Oc2kT+jz28oRTUIHujTf6Fn5cW7tP+SMkOxEdFBHQHPornufM0IE
iag3KsfvUwx3E1xCapSptzFc/N6Rvg49z/uXS56mO0lThRxPXZ3Os/8ktKKsrENTUrz3fDp3f5Zv
U6PEOZCt6+On+/NSWqsED1YXjLSS5/3T2TSqLIrsxPfMjfX61PiuowgKWaxZuz6+1ms28Le6S2CR
Og4sx6MByEEHcJqmFKYFyRx5yPfJqQYOMkOqfcbWnnRTPsO0x7++2i40URdPQ+16SD8GVdKssG4l
ar9rshC6skHjuc7wiLeV+Vfto+6BURAiBZ5gT0BrMPKnj2//j6FySAsT2FoIuCzkVfrvf6syAI6s
ZDIG3pPMrIn7YIPSx0I2V45QH1/qjznnkBiOKAVRCaKX8jTfTRiF0xQB1FOUgu6bD/Ec5uODtQT6
E6FJGyjrXx7utISCxkl3iNIfSTXB/kPO1XfCCRPy908tfpf8djnxsd0M8LTZIGzsvuZNHBHvE0zM
/PkHwHWz/8RqhyXkx89+OsxUTT10t7qqyudmnc7IsZaTwlfQ+UZOgqPjDAp9fgZaro/zH1/pdJRt
zzF5Wof2Btg1zmnyuiAwxBk+t74NdRMUV3BH9QaV5ZzUDiq1ddT48QW109Dv89/2KIPRCApyhwof
6aP3M4gmqYXFZO6/AdnX+WS82vUyx6I4817jvisntBYZkmoYNoWXsjN+fAPuH4MLddmOTAdHwzDg
0e33d8ApMS2tNqi/damJynxLLWsptmQ90gjJ8GvYovpUh8bwqvX6/SspbnhSp7wqX6LyOBvfBqdC
hMYYkfqf+YobN3I4LSxlWLMlCHAFodiEjkR6QUtlIVmtg9HTm6WaB/q30DKYfPgrh9WJWEQGWFQ/
WyhQRgw9ClJ0NCdpL5azjNJyiGi5MHRsJZDRsFgYvY0J/Br5i97O0VEQ2wTC0Vs87iYttxW8JegF
oT2rZlHQj0gOJ5SvEZ9N0xWAh7zKWUlMgfc16bEk78lMAjxUOslSF6RlPx7+PyYcVDrkovRpg477
c2oPnCxSw1zmxybtMH84JK3UR6BowY6NmtFbyvrjS+r1+92UY6mNXms0IVqA4JQ2RqFslh0AiMco
Qc7qbGk79osruGSAhK5NYXIHmvs9cIiarFgHhUZZ6bv5+DZOn9xx0MmycmodJ9/ca/n7t7Wz9rt6
5F2mj0VD+vMcQzpZ3YO0sPtLW8jrjy92OskRpXqBQ6bId0Lqld7JJKcNN8GtXohvqmvz5cHLAz0t
8rzVkdXHl7JPPml+e4giNTQxMWNf+IPSkIyTWZa1su9xCTRDCL6WL5NdQhqVk26Wj+wOOH3BNndI
Ts2SeTl5TvRAKOz1cBZI65KC4cij6/ctNFXiUGuhY/5oZgknlDRgEXhOmzzVaa3J0GmAUNLimJ6p
0NdpYtRY/LTCpp2HMwqPvShJDF0pslSl12sOBMXUnRkG62i5qxszca8+HoST8WYMgNI70POoQAIg
ME8iJM9LJEZjw3Q/VBhhFjwvpQo0V2PDyfnjS722yv82n/U7ZfHyEVyAlmcdPSk4gsUkp2q58TF0
m9dr0TzsXxeq06H+wFLPEvRWey8R6TAKsNl1lvTXn3qFAzmd4SMMlq+eG+h8JmfBlpXOrkRMRsEo
8sFYLjFcS7F6ptsBh6rZGTgwbYsaj4iv2cKipna/Cn9Ui3QRyShzm29nCc2Fv1NNpV/44uVcxXit
jgdvqQllkQGVG8NL9ZvMLaIWWtAUC3+zwclYJ5Z/ldD4Ipm7OTUP9r0Ykiq/cLaqkRTIx0Mavn99
+Kxr+z7TRrDksReCbnu/J3Q8ASrYNn4ulRN8BX3o2Tub8ujBL0BmkuNPaXNxp+hiDrMy3rQu+NvK
LsoHlWQIR7WjI0VTujAiJIkgzlLZ3cecX8VNOQkgpmmo0FlG+W1Fqe0ZFploV35vpPOaWo7/SWFZ
dgGGUFyxI6ULp/VUFRtD5A4s6rBV59BmgaC2yCzdDVnD4sFYDMnhoESaCGamv3HZlYqdWxrOVTD3
GOO1MxZ1EXeYUsM/p9GGKkHeStJ5TTFSwpNW+Q3VhAfmOEGTPSxgbCGX9cHRZn9+alOcXldx76ek
MBIh9nZe18cxcIaHzHFouILggwGpQd7usRgigYNa29/hZy0Ii+LhQJ9HvqNMMMNsol40AW+JMlqr
3Uqdl3WzlWOkSNikef5lCH36qcIYaKykmeS45EhPCT+NlGwfVFLTN29dOZvf6UkT36xgce/p9R3W
6eRXF0Ugsq2bzdnFxzPi/WLNhKCszGIGjJOaPoHCyYRoSP8ESNjrF94Xfr92XBdbv9RoIr83/fuP
L/Z+g3q7GK2fCLJoTo245PvZFy8uoV0f1S+wMyo0QpN5RNtpi1VVFVfKpQlpPSVNdUuJEN3kx9f+
Y+a/PiZaHUo2LOKn55HBExG4j7566eqag6tTtsW0qxzsHv+yTbz+pn8vW69P6do2wgO6cNmQTw+R
k10VtkIr80ITFt+MY2tT2YYDT4bIvQw+13YVf85ovkbIXnoR5kIK/uheZZ6/mUqJ7Auxnv+p9/vo
vDa64J79Fic48oryoaoIXmxZV+3KlpZ7C2ex/oltanhZk569VfZsf4lyzqkrGA0AQHA4/uRUEfPY
CCqf7E1BLQ44Com1PppfctiFlBIGWLSJZz6Zk3QAoUXOX2KhExEeQ6LDAMIgxsVhjz4NCSwjEJOL
qP7FHfTgp5mT7jE7Lw/TMj3VVlQ+OkY0bQY7oejR9YZ/QONL18PHU8DTk/ndmwm0WFPrQSyEY35w
sqGA66goH6TBSzJQOCCd1oNXCunjoT22XORGudV0CCo5wTg2WgwyyegfGvJWV6r1Faa1QWJ8WqAX
HJxlJnHWIx/Gp6f21n1hXGVzjWGVQ6s8xgdHcqDlp8bgpa18CmPzepETZZe8EfE6aKPgM2Ej5r2j
m/2cMTG6doI2g+JMyjNLmvZT5ckSIn8shu9zmQ73mKsUt0ZN88LKp7tv59gSbTUgk+Q4lhE8lrQz
eQB69TC9kwklgCDvcgoh7Il3rmeElxkM4i8WWe1YI4zBE348uHrsTscW+CjHfZ/TbGDr7++3qA/D
X8prZhC/dJnrXcP/yh/azJlRane1eW2NWjH+8RWt98JXZhXMQq26RY8Eswu52vtLWqZdgvhu8x95
m7vnpM1oRoqH2bggUQnM2+Rb2jhe0r+0jlk+ZMmEZ2AWmbeGipzdx/fi/zm1CDVZPu3Qxm3OOhUD
9mPlCZj39Y9kosDAuR3PbCAWWLd21eytOtMuyHDgHYgXqUeucJOnvnegHTLbkCeJojUFT5ot+4YO
gEyWSqd+SaHXhkivCj8Th85xpmsf2MgZFlcJ0HrAp+NKzJaNA3YL23DVW2AM0Zp77R6OYbvLC2lc
0fcEMIVUhnGJlemM/d7IdgZUsN0lI7v3urFoIako8xJROhWNDGVX4nuixpwaLkXPB09xNCUWEXfS
nuqztCqdftUHyGWYiZSL1j5ZvxsnysD6ByjqoC1O1JWkX5YJzcJBezW2kRCrJmt9dLW0zOLFGAYj
NpB+Yn+RfZN9pedG/nQzG4d5oXI0/B+/nT/XH2ZKhGgO6RoUnD/yeo5NJbSYxuJHCPgt0NY6+XdU
HjNVQ14ZZ6rgZRE4GPq18X1W+Yjniq/av7W2/acJG2oJMltfGNFUeDJhUUqJSixB+QMAzjxsXl+I
v9B6e5mVvtyZWLQfu74edrTXYxIWxdMjKGe6gumBt45/GZP/8MFq/LaJ2tJGa3mq2F2qYVTNVOQ/
ksD07zrfEp/t0jC0NWN2wb44XA9lJ89bt67OysmB/V8HbGRBKaebDBAVguR6VJeZMTg/Uc533irs
suLuL3f5R8gApw75PJ84mmkOlSdDpqp4rqLOHX6Q9e6SeyILTwCLcnELEKa6tn1VUFMSCw7yYe81
P9PFDEAvxEBI907QiAcPftOlGYzFvY0JHBUSdoFdn2P+Crk2D9ZuR7n3bb79N73kOLf4hD+9VFm9
yQSHlGf5rnU28lij/9/wkv/TF2iBnsSf/84/222jf9Dy6ZM6iFyyZ/iB/89/2aa5/2BZjXwfg1YP
5XzEBvNP9zT/1V+crSfSzRROQJD7z3Zb5x+mZfHTwBx/MbFPWis+arVA3v1ul9MpSv7DwYn0Nqdr
73SZRzhiu6094G1bhuEaDT76jlriVBin03mZdN6BBjAKho22cQHKEFx6UEMQNWmbl6YZQAcJrF/K
oDSvCpSrVCpj5+jnOV4WPlR/XMjd4DotlcDdSGVHCublvtAGMxU5nW9NG4f0VeBBhLprK7UhDSmy
/EAbBY4kpCBwrBFDuzybbUGrf5z4pBqBzN6R5SvOI214E2vrm8EBMIm/1VXjwU7DHK2iYZ8GfEuJ
8azOKvxzKsPHcFCb6lSv/joxTjsN4JF9W4YwtUQCIzjwJ/uWEmp0jdQNAy9t2EMAhHePapxux0pc
7qlsJ1+tKIuuLaO4sSZ/uIrx/1m0EZClLYHqztXuQJx5fxIu4HahzYPCVx+hntTRDT51AJLyAP2P
601i1eMcsPdKs30ZRy7i9Lg8dtqkCFpwcd+9OhdNryZG2s4oEhgbjdriyNRmR9Kyhy+NNkCSQzre
Sm2KREUd9FyPUVJSINp25ry/9h2QUoihszWpkGzXvZosTdgtVQ5eIsgfg12rcKjEF4nHAAMAkxur
JnBR9qrT9k0GPk4wtVBj4uxk4/Dk6or4kKEYKrT9k8AHqtKGUEZonJVFgEVU19AEijJ332kDqSQC
JiVymV1I3x33cHkwxdSWU1QGcJ+KDDyISCXHxtbhIHnRaqOqZMayKujw9Mgzvz2PW5ohWzV2xyh2
s6uFA+bVqEkNKzonsy+xdMVlPpjlndu47b4iuotWI1qegzeV4LGK0nFulznIrgA4LDv0IiVWDdp4
ixgeD64athSrhKMufQp/N5E26+I8AbI71xZewzS117Hvl4d5GpwLX1t9Va2fPQ5hgKuoNgKrtSVY
pc3BJm0TRq3XubC1dVivTcQkhkhHMBIRsHRRnuELc9bWMcYcUe2FkOJxQIM57V912p4sI7FzyPPS
rVaVti8bXW1khuWLra3NVNP1BwNsMvGTfKLogQPaPGGGZrdx8NThj+Zpo7RkbqE9IJM7a5Aw7shI
ABYPapw78FiDSo3bmpG49mMQ1sdGOUgIBaZsi7Zna16d2qY0Ns49OKoplObQvE6VdnUbtcGb0FZv
WCDi+kbrUfQMpCzd19oULtH2cGFmVjRWITA2SYhf5NpGbtSGchAg/Q1qqOoucIT8TmChehgc1hHh
yVliY0rX4E5HEREpgo89/SrT5nVkpCEUxeXBn0d57sdLfeYWVbMR7VCsBhbLRwDJUIe8Kt7hA91t
2NpBIGrLvFbQSrZMXYMDLweIJcVaDyFA8RVV2XQPLRxjZ7tqYOa1hIC9NuYjeGhvDPiFozbt63rK
weso2nkyr7CtGs0rKqC4Y5W3kFjUV0PnwQtMM25zbQkI6QZ3wHJkN69N1T872jWLFufNaE7BvrEw
FlSlNQC1B1H1VQZoPGHWahfCURsS1tqacBFNsTcmudB0P3uYOKrJj+g+B++WxPMWAwEC0KUZIF9H
kbpPlhlaQllw9i77RENnOP+torY3L5K2a6/mOja3lmV8xbqNzG0C1HGblREdqz7C2YhOkDWk9i+0
E5uQBoWJK2Lerey8aL6XfooSrkmjW68K/TMhvKlaaSbObSYNDCuDeo3kQDz5eYCzCy1xN6bwK9qU
Kse8VmFjrsO4wjDMDkt/i7AjeojYNa7BUqZfaJnPLqtFfaOI4B/YRJf1nAt1DYk8YyqN+aXI/Xot
ZyO6hIjS38g87q5yZGUPRpyV16Ko2m1jiWRnRU2yWey03VJ4db6QKAONgpX4to/DZpdiWfdjCZIB
e6qofXKdTm8uw+J+JfjP7hEFKhzFsoIGjjxK9gN6aKSHybg2rDi9sSxOeuBXvZXC5ufOHBj6OvWW
zTzLdismO7wIoUDk5Dqa9BMdWyMTzcJz3KBGx5sdkKYlzrCvs0lqSWx7Xw7xPqOjYYt6cbkplONu
AQbBAZilueRoXmp35SXTzu8adW2pxD4HQll8GzuM90b6WRARs91mfOIXgsDwQJUcQWbR9dEjBkjZ
pqpH82sZA4BgZaLFSdqb2fa9m2XIjeeWxpjzVobGDtm4+ESnYHnmQWvZgQwQt+U8hveUaEH2mZ15
B9PL5HIBnJ15NvydgxDoup+777VY5mdzGVj+Sc4sCK4nN9lPzmhtFs62K1sYFx6AGpIMNY7iHBWb
EVmmbuAwM1a0zLyloK97KvM8OQ6grFDnDF2J0ZYTydsu6cpDk/JJg4sOCgJg0XOICeKw+xn1bXGm
ytReudNoXGZ2tZ0x675RmpEmveHR671X8zl8BkIICN8L6T/S4vBkxsNP9JuPYTN9riGer41lJMvp
dDhK1sEMkTY72lhynLdpEBwxGrAfIK7Xz7A2pi9oZR5DVeP+9ORnNCoV5y0yE3M4bzvRKbkv/alb
/CtCLRCNGCsgvdxiBSbdrS54XE54oGyGcRrCm052M801fvxzgIMfHko18uLo37bRQ0MlWQNk2g8z
Uc++StvmKqNNo3lsWUCJvbR4HkbhrkMoX52HRtFvdM59Q5BXXFjJXJ8PfRY8erPXfSN5keQ3MTm6
iyD1rP44pEsa78sFm/kav6hxQc6ZSC9/ASMrjHsPjZwHFkPhp9AYWdEgGsqcTW2YoMMxwtgpX3zB
V3VEj4T/hjnzJmXifpkMezwApA/WcyWHa35y2kXw+ddDmeJ26V4OEYRXRNmNtyoSdhkjAL1CLHJf
L9gepJxwz9lBjLvUyJJLWA7WmnaqGWfbpLvueZvniwTNkWbjk1tE83kf+QbqLWPYW/U0Y6qgwy1n
sTHG85z+IsvOOBGhfppBbcYS4TltbPQCo5gEYENnhntbLanY5J2RnC0uAuMhjrFrquzsXJrJJQz5
cm0GVnsJaEJu5iTovg2Oj0ITY8J91qns/7J3XttxW2m3fZV+AWggh1uEymSRxSCSNxiUSCGHjQw8
/ZmgLLdkn7Z/3/vG3cN0BbIKG3uvb625NiQpoElFchg0SV4FY6jXqAQxWYQO/6VHfMre9XKtovOr
xdaQQ/mb3hMm8GoiiBNVuIzu3yi9MO3PkEs5hn7tdUtkxkMoaBjsPAbDCU2gH0eTfw9xf3OIs0ja
/NUhzqvyqnl9+wVf/v0xP+LysvpJ1tmI8PUxFQ0TxO+HOOZOnxh2QcdG/HC4hjnO/2gvUjipgYRE
kEI2B9T80yHOBEGpqA7iDFMrsq//CEH5ob//V6k0ZMwQ0IxAXWJ44Ij1RxVGZpUg/7VIR7sLBSlE
qrjBuT01g6OXzSGVyV4LN6NgKU63bIsgrpwgPBZjEBGgNqwO2N6s16DjnNDOtKtSUrGe0LXRxQAA
GfCAmmi3fZZ2U7jNyLQlyYkwIvhcMvBZyswoFAg9OpIuW/MlcqO+6Kf4xAjXmBdqVm1LIiUpcTsl
7VQWB5RPqLwU0q9hHAgXg/wMgQ9DRGUSAJ3vUrGs035bR+W7ZWnqY+ecJJSsUDeJ3EiJhlR4Rl+i
8OU9JrvZBWoIwzEi+09n379Xzf8FNMZn7OAX+N/ax/X7+J/da1G3cdK8/yyA/PbI3y4eS0bmwC2K
heLjEvgNNgZnAtw+Vi2ZVA2Wkp+x/8Ynvl9EguG9Kh/F8r+rH7r6CQ4+/zmcCSZfKiy0f6B+rAr+
T9eNjjmRJzKxWci8C5wdv8rtumROkbDBS2elQdH2AmtSNaPHn/4oN9+f7meaBVf5n1+EK32dT8PP
/6Mq2VWDVHM9gjHLgEZMFvDPGIoLdwK9C/76pX61weG45PfBm4tRRscV9id/VFWEk0i5v+6mIcEK
lifZkfFVyOQM5XcFZuwKpZG2xJF07kAcNf765f/058SFyZtwkJJQOLHH//rnVHP6Dtew2Q4Z9V4t
rM82Ba5//RLrU/zyia0vgWHDwgXGBO5jaPHTTAY4/8xcRhGYysd7vCiPkPUrr1cVi2ix4Fv6+9f5
//PJodH/+eWIw0EXBhTMFv6PHDUtErTDIvXvdISZA/3jCllTBwtQZoTFIR/0Bz0cReHqkehk12AA
WLj4apeGDS5Sj99WYUKeFHKTG6d2tu9Hy+FQXA2OwJmQw2NrCXGUriqUenSL2HGpClP3alpodOGM
2whzNRXENmP+ppPVx3kNB9IU3xcQqynzjUXv+FqcaX4vz9PjnIbNKTEjqE2aajWQLoVT3EONiD4n
s0WUqGjozo4q42zgObiYK7p3YILsgjWJKDEH1c4dIQQJ3gNglQ2xAdK77DM7uuLgAFOzKL4xC7pU
if7VXOxbJh2FN5JSOtTy9BKtxDinSM1AMnjOgr4MP6sXsc3g6HsNqHGjTcf3JnYgVKbxuZ5NyU+c
qiFIUPTBWI3m9TRpa12zGR7USHu0OH4dUmjznmitmq7W4V0zJed+Ir3jz0qaXi+OiO6Rk3KP+hwP
sm/kWxXtQNMYDjtUiJCGoCm+KlvD6+PVpGbP49GIZGqQRghdM1D7OXL2HSmkaZMwgboXFoVPsY3I
odqJdaoJiMvHslZCZUMLQmM+MPGXPsfZ0JzLSuF57GlS76EuDEduk/0OZwLdDg0OMT5VIz6GhWiu
YD8bgVqKbEO3Kl+RgmyVqOCCcbpQAhyF6gbqv/xIuAN9ZhCTh99J7Z/7RBY0LcmzcpI4vt4nsViC
MqkUN1xTMLEg5OSOCVUJC9nlUxjGzW29lM1N0bSn0Jm1Z5p/u3u917KdkGLlak0/73CyUBa4mMmm
78ppS1XWMztXY3YpM4g26JLTjvG8c8s0K91KOEuuOO5XN32Ozajt5yviBrXwHHB8G8wt4rky15Qr
+lzk0qJAxMvR+yMtxXiplhiysdWCvdYqRpkduUZOshSMZ/Geh32eBnYdRSj8qR5v6zl7SDnM04Sd
Slu9KIcjBpTMTeKhxSwQjbcILcpW1RJ5hxUAGa7o0K3xVB3nCuYfHBijOjOctFW+0esxGQSpfEsR
w/zaSggRORfNaYhS6dihI2+1yYlBMAPq99MCDw6V0ZYvZMGrRZlWcb1IEsFJdQpJ/8XzYUX7PNtZ
VwIXBnwYheF4nDi+etbK/DUdKd62A+i4IuOci5WSM2jYT8TZMsfl+DAe0CeU04SOtglT03msqir1
OAmXvmnFr1qofXaUhT6orpMvUIblnTpoL1AcT0RGozuyVKjGFn9pLVkOSIm0a4ccOBZd6vxwxHUk
iGzQZ54SPBT1bSqgbZVieUsifGJkpDN6UsJo2IdS1AeKJN9Oc7+BThftUonGxMphwLRkPC0dJuKh
weJAoKYdJb8GzbIhI6i9tgOgoSquQQROG1FH2r1h1I5XKllT7ktraG96qdZeWbftfVKM2pZ6EzyD
2JGDmLgEAUi9Xq7DPKO3QAvr+aFiZkkYzVj2yuTQ3asaz01F7QlbZ4l9Y1h5lPCoPvLjiU6XbcwN
wC0GGVEhivC55IVSXreFvc/xMGZFDDUnVEovoqpZb2zJXxYp9MNMsq+iMHsPJyf1FtEGVq/qr/Cl
6i9prw1nPF2F4xo51x5LgnlO5nQ6savP92ahNjvNTjK/GpfxqZpG2jqThleWnXSeQY5zAbkSIuM3
J5Xy1Ywg34f4nG6RsE1Kl8lXKnmRMis2cm1rYUYLwBHQnj6Z01tRzNIZMwHpOtjiWWOlj0ZslDvw
UhVB/ybvPQWwsJdSxRvkNuVs/WLpp1xLRgFuehnORWtLJHVk+k6E9ZXwAuxgCjdzQsxGurdT2yJF
Ninb0kiKoGHGCD9uTnagvKmdM5141ydVdSSMYuyMzjDOJlbnXSxF0YttBAV9e9scVcLHBzc94LEp
fKAz9oY/Un6P4V7xmHLWKOgd8xhdEB4di+JzN2f6C3mi+NpszOVzW2r41hJs0Snxt+teqbtNVqR8
82Yr3elZ3riQNiWfm+e3MmsBGFLuuzGjsN1zfxz3A+2kriPoujCPnVLMau6redt/31f8ezT+m6Mx
e++/nG/67/nr+Prr9v77Y37s7gEDc+IkeqPjEvne3vtjh2/Q+WtR0fu91Ws9/v4YbzqfsKtxWIbF
ZIAsWtuAf4w3YRCTTyHhC8EIa8E/2+CT0PnDDm41j3P6wCQFWYtDxh/cgFkKpl1hl7CbzTl+6tKu
rH3CdjiNJhiF3mQ1YNBrMd/kFXlyL4/pSpUtlrRQxm8yJCX4TG1RnsKkL3A1lpnpYbgZ36eOzYvN
k6NuM67Lo+6mJOHkNn3+QqcLDXs9hpQyclr8t3IUgKbkRM0fMdmFVK3epd1IayP6/nWeGohbdk8d
rAWrRV99/c3BVGgJ7ys6OyVWDbSvhkveMZvjRNqc6L22dowb6ZaKGoW1tDHrvbUk4R6GSXeBLK8f
GJC+pJaQnpK8oFZSlKari6ncosVFQQ1rw63ttj4vEybiYmpvBzqYDCnjlwQY4BJ5v9XVOds4Thb7
s6FJbkqp75Z497eaWdvICtiRNsYxHBg1pWiq6KBRLLx6PKi3JsgWN7G6qw4fjturdIcq9j1s0iuF
UL0bY+FCKeBmSEKMsQV1XKo9rv+ASzUXJ92un8grwU5QuglyZ/RCD8B+VcPddYSXzdmLMNZxbVXd
AeRZnuG0yX6Nu9XH9dtv2A0PHqk7j6/g/aSFQWilppuF5voWAPwYPDVrCivyYslnLZOkTTdkICtb
J3+s5l5/ZKNE1ela6CuiUNuQTpgYD2LcjeXiW7vUN7KpL6B9JO7Es3itYKXc18Q/uT2EquZpdR6M
tlrf5CNkEXsB42504jyT93zSM/vebJNqW02Qk5V2RnEMMytY8IvsHGHaQZPbD/lSU2mma+NDpIfr
JonRO82jKyTZCfuvkoytxrOErN12AH2vi0TECrOBeLK5QbNLzOPyTpOUKcBZz0mAu/elzTtn09oh
7GUtJtLKlUMT0JD4MSETKE+TcLaN0BDXo1rhKJDMFSZvg84qezCra1WZ+iPu/A4ORCMZDxbpyKNe
mPKLzi/ut6CdvSJJ1cQHylJVG4XWuoah/CwfwZgY3b5iOuQagIvmb9RKLdLWBkAffpsda7zK1QYj
YESWkmLXBD8WPZ6MkFLlu/3m34X+bxZ6qHAsfb+ffv3X7vU3Qvz1a4ED5of55T/Vt/+gh/bFl+T1
Z03n++N/LPrIl2ClwMjb5qqGrkv7j0Xf+qQo6DOs6rjCVtnzv6u+jei5AhWpcyQbapn86L+rvr1S
Lfkh+SJV5Uf/QNZZbx+/qASEOAz0WgUGHoItuRZ+/pNKQNNZhiFxkndglrwi+gbO+zzN4T61bb8c
8f8n8gEybsCF9KRkrGza3+kUzq8uL0RY3sJa1cjYwtFVR/mDtFQBy69tO5J3VTPL16H+NDv1qR2y
oCxgHasYpTvR+05NV4qeh1d1zVELC2oZjOqzTmX4EtPTLIE/XyQ3qexN58DbsZRrESNS6cbgMj30
pYG+H7n+qjORBVLj9iWu6OwlpeJ7/b+zroP4nh/ahah6AX9bCmbD2ekV5R+ccMyTkIeS4kKZcj1X
alpN8+Ws92atfJypamn4TuwmTlGFxklG1Y4R8gWWnAVPPyEIO6dq3ZauuKABq0BRD9rsxEzmlpWn
D6YyclWJQZ7pPCuaFLSR9crImtL5lO2cqXm6aYEEcFyKfoK+yv1hKjxaIS+TFN6nYmyCrC2Coatf
uF/J2yTvb6LWOqZK+WUBT9+lmSfMMd+SmbfdsQNKrZXl12LS5W0GF8+d5fFrqUd+ZPbtqWxHw8Vf
49Vmy4stmyTTzlGRRt7HJfPv4vI3iwtx4jUN+r9Xl+171US/Lii/Pea3FcWWP617NCJYRHlIva3J
qd9WFNv4hBUIGQ7PPcFilo7/riisOz9WEBkCMU5tVFYwcKvN7R8sIKw9f1xB1p0sT4YMTZmAYfJC
P68gjlqVHD7tnMNf9EyDzeR2bVYFeG2fSDbfNYwvS7kXT3ahPM3jqGx6a96003DgVGMHiyTUvYbt
a0/n4OKC3DX2Tp/lW9aC2rckgaVhcJpvczjQ4xlbJHvsVj5JUV6/sJ+VLxKphy05oZ4j5Lh4tZ0k
G9gp2K0i68Ku1L4Zl4StTlccSSaOPBuIFg3ARdBKKrP+UW8OctessIcz4VzyR53euWk+7ZvWWm7p
yTP8yhotT5nH/l5NHGYnNGLtY5KHri4ptyOVgdu2iz6bOgWG6siVZhV5fNXJiXJMNd6TDDH9RjHb
JjAwA92g8RPmyR975rG9Ni3wIXCDF9bwCv57LfYbRr9hSPolYXN6zEZ9YTu7wHkCRb81cNQEAEGs
7VjOLYpiPgXs896gIGkbvVdDP8lM3Q2t/lWFwuXB3zpQkVBs2PWMfkrz1HbpAPgR0QGbZZWXQrSb
7sMMLZ3DtUGgl8S0qzUkhsmqlItTq/lTNxj1Z3aRm4IGQzaaxSUzbFIFud1QcGpjOvDCPr9qai0a
A5XaCE+g4D31S5XcZlqs77WWWKOmgYNw62ho7oQmhXc0VBtHPZsXy5UKg5QstEyqv+vkmgLa8YlM
Qfvm0BjyOBUadBIclCPF65Z9igeHAoUx0/eiB6JpjehnZa7R85Org7HrNLt+tpIUkkpqDfljyczi
aOSQ6AkNKNd6iU3YheJV0Zkm183JEqrtk1dQ+OM5Kgj2uCdP2Kp1yckghAq/VKDmhbSwHxYE1AXz
gmzEn1FR08EdoTrOnB036milL5Y6SCR5QiLXuCvDx1TNqztbC4FgFEl1h2NQudbMqTrqY+qc8A6m
LzUIBsbcigVkPskWZVOkuAU7WZtuZmNIrvsu49bXk8wL2mSFlFADt9O6cdWIQPb5jbD1V3a3+eOc
ECBrehpGJY3KJS/CxbuLVmRmEw8TiCqQKcM0JyuVSFbuh8ooDzTcJ9xO8VD4EG7mGzXiq2n04Zzt
jHbglxdzNF+wrPIeC4hdF8A21RHKspnRYszngC2UJ+TwEYvgA7Q/D1TETF1RP8dcf9uEICnmKcb8
fjgl7VpiSWtArZTJ9Sz09i1hILpVeq1+h3s43YQ9AZiPd5aGaW0jqys8fU725DZaYnyteBzA9ISx
fatPfAeR9Aqw57F+oH61v29TfWQ2OpscPtdfvNOK+TL3RvdgTUjyeU6b1t4YvkfWqzmQ4VNu01FP
Xz6+aRwwebUlcgb4qbNKsnctGGDeUZ0JMpCkiqOUxpdF5I+6M6qfx5L2UwoIdOsWI42+r7JwuigT
HjdkbcJaUQ9tsh74UHuaCw4SeHbsXeFITnUsujcq+BKMb5V5Zig40+KnqJdQTu3LKFZ2JN9I3DyO
Eb44KodaTEFxwpmT6hhpsHlFa0aKzaNYugNwiA+ZCtI73EDOtuL4Enx8WsVIvQCggdb22iwsgV12
g+1VbO9OM5Dyk0LrVOiaNqd534x4+n4FvFjQxN1l4R+JbT/bDWqYKqrEa9Plui3j6wEVAOjV/SCY
ywxG9UK1IvMQc/Yc+0rt+rM8RjcxfE7IbfEO8Ng3Y3SOYAMIwEgoBqp1mVptow3xtjOXx6hpaeiT
J/tkmjxhHRpsadCF65lMi1pWF8Rwo3dVrcLGkijmRa/TB4pflWuTRmUIV3aELlxrnmKVupcU8zWx
LX+coAGG1UErrfBG6aTprExqurGraKb+1TZjSnyy1MVTqdNxlxUQuzCKDgMH2c6mp8+XGuWNilpv
EOq7KIGlCFoajpTzwlhSC4IsqvG1UbpdaRu3RG8pjRl67YwrKnyWIvUJfOFXAAg4AMu22JDq6bCX
lkMgFRoJoJYQmqs26sBOy6zuek3XIc6ky1sxGB7FJiTMMN5s6m66K9O+PjhWttUA2YJHW/iAE1PZ
TGKt/R7n7JSZyoM5y6prMTDKprnY0+Sk7UYWYV+2+5o9ZrYKsTiwogXnVFU9C7nX3YmU+GnOZOvQ
8MXfprMpcyINn2WlEB45IrdX5m/aXF/qxLbeExVJRke3fbFMCedzlt13Spu+4nYDSJei1WImtT1M
Oq0btk63miR0EF3LwnqgDfkuwtCrgMOVdW8BNuyEd6Jo3+K5CwMZ5O81NUBjHWgUWdLU0an4dGFZ
9cEyqOWJARKNf2N2y9cKn6wZKjfk8HQOAUA9vAIwOaPprPb1Fgd6q6j1e0tqLgByuZ8Lmg20un7t
Ua6Q/kEZUj7zJEN08uSKu73D+Gkrmf1XKhaeRYwWP4vwYVTq2aUoYGBaOWZgLwzpqtHxHc0lAFUu
QxSBMnoCBdbSK6L5HQGW02j3UcAmwX4jyTBcLNrmHqjpW/cQSHwezL75MAKDwCCp0rvo4aR/SC18
uXqrF+8t4st71zQ55T2F5ZZRy4RxYJzIPX3cZC2PjQotmJdOvrbCtLolEDH5USzYWWkUD0G9tq/r
oR5fSkCEL6OqaNcm8w/PYIflNlTV+TlXESt5l/SWF5eG8MKssJ01zRWdhglv8aFlMDC5pI7Ma9UR
/caORCFzSUSPlMZLZ1NpbAwp6iT4EJkUhU0kBQNh+pNlNDrfmJIaLRDxOLr0ZeQ2OPXVdWUr1gHK
OvKSMIogbEX46Iiku4yQXdMAXiOxs84ppesuso09O4Vsq8iVCJIpD/EHGxWNns30rSxU6ibAHTyM
TTLuMB+KzwAQIUSyFvrRsrZAWWMLtIlOCdliIFuwCyuGQTrIFQtYrTBzr0JiRDUV614azuGmQm/j
beViO+v5F6vllETd9njOTEm+akKaaHOtarZCRfDsxyz02DNcTRVgNknaRmqEH9hentOmqWo/hfxF
Clw0yHGZwjgON3qhy9h1mkzfwqG9osQGh2BF+6Hao5YZeTvcLBl7vGyAswumzT7Po8jv6Ekdd/CO
pWetIz6Bbfh9XL1Jwpy7jQN3b9PnYU1sj4BJ0ySJj7uHS5zctUvI/8IdtDrDJ+vBg/az28qj8ajV
03aihdBvteVuNjVrrfCm09G20+1cKluc/HixlSYA2hK9E1vdah23vAF8WTDQ9BFMADsPyaC0Hn2O
4X4U4SmJxEUPDcPHbpruwWJOxzC1wSP6KXxCBUjmcnEyVlflaPXUWwxBWq9kmm1WQDK7hUMikOL6
ljk8v/DapcQkkWIlimJl0hLfG5esca1fmtj/LieDrUrmpR8VTfPa1jTZa3GT8b3Fifs2ufrio96J
lApYthij9qC75kcJFHfDzxO1UBLj703x0RSl9+MdY6glUNYeKerWKrRsQ7/qKJkSi5YES21eGL1L
BBs6FNu1k4p29PQMJM740q6NVenaXaW0Snc1rn1WCcVWTTSrwWiow5U90HqF+K8fcOCOrH6UYjlr
O9YIu+oSsVUJQAlo/kyJFuabFWLYp6/j2rCVfJRtwaI4FBL9W1EKDC8TzL+GIZm8cO3poj01304d
FnDZdu7Bxk0umaPjorHRpqfuzVKRinVREGpRyDxX+tcYUr8PgMY5zB9VYelHbVg0N90XWR+7N3BE
6Wlc+8VUuyXrjANuj9PiTh56R3YFexkqyYYu2y8fRWXLos8nPWnIBaw9Znkj51dtXHzlAAr4rVKJ
D6E5LMYRW33lJ9ShibUXrZNE8WZ9lKWNoOE2JMOHTQOk8ZntixlgxZkuXYjHnT3QRaMw5oxFgho2
BQH3wJSFzMLa0jatfW0mvuUjCaLytHzUuYm5y89ZKSzDg+ARfylFy3w5XFvgCiXmViB/lMNxNKzY
B+SO/Yb4xMIxRIZyYaxvE0u16udl7ZlbPirnho/6ORN+AdV68ljel2z6A0NZbNz+XbXBJzgFtrLs
kxk7cE3cmRv0kl0nyEDPCkAl3xQWow+jpHu5SdOR4nle/AygdTqnlQ0Mo0yc7p4ZTxOFAYOActEQ
lLkPLrMHgHFhZE0AhJivaIdvcVsUO0vrkl0jxpr8V/meTaQf2jm0OD62p6zpqcGOGvsCeHi4ieKu
vuDWx2PCJMFdUl3CMl8hngPI9lPHDg+8sQcOfqFvOXG1IQ7GnJgiseZfg+D/qYNKZYT3l6rPddV0
8X/816zqftGSf3vgb9KPQ9bRRNQwFHNVcAAZ/C79KLLOdBGMnKyi6vzqEcR2KxMI4cf0YtOKgSr0
mxSkG59QmGl74WEfE8R/Vkhq/aoFrX42Apjo3LRgG7aO/fdXLYiJdw0GxVJPi2zo0bJN4MR3bGFU
ma1vewXV0gnqghQx9yiD1Azq1vIsqbmJhShRdu1QS6eQ9x7MnH82EeBMDCNLe1VF5S5utP4A7tby
wViZx6ovpTtRtrjMygiXSmIrbs2I5Y5Gx+khtWlPIEeBOUapReUWbSo8k/Yr5mAcxqiugDPpcF1v
U+GEnFrwpMdGtAOGeWVC7DqAQAJVIULkHXGm+dvHfym7elErO9EyEIRZlHFMMg8gioBBQf/FgP/W
47Wj4wBbezE0qddo5XzF/ijCjiv70yB/XRuesL0h7oZpqmxmeVm2OHHpI4/ULZOe8rNDBD1o6ywB
sKYH+dScm4xtrhRl3Wujdtomtwrbq40aDaAwef1CwYPDSRq0s+3s5rZPLlYUcxNUlGVHLsPxoMOG
bA1pTo669NzMDvJMmy0BhXUKA0cK53W5ZgePTO+DVWcbiSeZ2FzeHrLEuooVB1+kVlwcGR90F1pb
p+h3tb6alnKVtDy+NE/XItlXQ3krJSlmh3h+NLph9oZu/SXqDPB0r4V+PveR16CC4dHovxRsxKkq
xxJH6/mxpoDLY1sZVIu1kZK83nDMLuFyE2BIDMtyhWHunNBBN1yDUutgIFlC6XHWksrV5N4ANVsj
rxM93Kh65GCNQlVUqzi9t9J62beKPRDBGgXio2Js1Fai9WUCNQS13eRQQiKnRzkTAFdoakSWmWr9
KCR7z52r8EAMUu1IsAZ4TLSNtR6QAJ0gfp5LQZaKe6rGHim3OaWoQG40mPpGKhNyZPISb626eAUR
9ZKKTt+ufezeiJkN6SGVDgLEog5GFTqsY/h8J1YXimuOa2y4iShNTfETrexaNQo5YJJ3GLjReHpL
mEjpjL1QwRrO+qJgimmPk5R94VA0QVy1a3Kg6bwjYlN4y1Li8IImT+0pGy4rqvVdDOw/0Jn9eHLO
v8uU5gmENG5Jawp9s2wH+A0z7Y82n2AF6WZjMmzfhFr60OD8vaJHoNho9hfG9vJhIvfhGbUp3VNw
UbA9NGPdt/IkuRRDZnM6Mmn0ztj41onT3MvlBC3ZcrIL3Cfdb9vlCqEq39hphnoYxuZmybBtUlFi
BSUNVG6nSvJNYjZLIC9ZESitHRO/JnsYdxpuLAbWe0VtQg/71rBT1WjfGYN6bCW59yVybg89jplN
j/sAUw6pfzNyRp8TkXBlYxU1jFR+IOkio00owJcHQed7TELH6RfFbZasvMskbb6h/Uo+KN06ICGp
zp18xAIQMLsaV7XLJMEDPkmb22zDW+U0hOuU/1A6lRWAH0odryU9+5Lg9vHS0s73g7Ai0pgD0IWF
v2e9tMaOdjokF03+NqFv+chIxoENF33hZncn28m+JzN6sBcrcfXGuFDiIYCT0oUeU2fvLgQwfV2f
OtyUzte+yy/JjJ6m9Dd5D45fThMFkrj0XujLvMmb5dh01ikZ+e9bi/5Rmo/cUi/LDZybxsMVWfuI
7q27Ji9dRU9eRUWaKbKXuxaf347+FuTWjLgCR15kJdlmI5twvm5KPJlyZDZXs2pt+kJ9dRiUu3aS
agzOW+MuhEXrFZYTQGthL6ak20kX70ObA0hb5vDaaFJO4LmiHEJ6CDcpmi7hv7ol8cf5HmuVvYs1
+Vzl6otpEmKGkb4naflIXSr9oYnZefmsmXuyc+U9gc/PhPtGv66tdzMeR4yAiAtQ8u8pVDhaetdc
17Z6SEA0Ee2o8qvcAi4rNzc5fYRQyGLbC4X41jQ9VaxEKlBl+mqrA5PwQ2NOAzF2+WnOAZroE2lR
QwudXY5NudXiF2dmTz7r867KS+WIOtdvYDSJTWfn67GFVyyX5V4MenIDgP+UKtyEmOlRyDtihsuU
KN80vWG4cmHccYLCgNmJ5DiLdh815GA5WEhE0nrVxSsn+zGw6uc8m57GsO931my9Vb2KyYKqUhyJ
3biFjydtojI0PKsYnDOcmRuZPkRX6Pr6xscr0nmh1xkqpV3hhSYpwloYXyeBg4UFLd8rsfS5d3Ch
CGl60xIO+LRA9nubvgrWmgR2dxiaO9bf5BBjcN5GEqvcaEsYihu7YAqqatuEaQmk71HbqHTOeJNe
K9vISj+PELBw5tr34M+OLfFMl5HuN02qLUhqebjB2rO4FFEqGyqQ7EDRC/lg1yheEPVLtrQVXA+z
qfwR0JRWksRty+5BT6jIyvjOSsIpdwQgE526nU7Q3vTYhXR1cSniC6b9V/DtK+xzaDTOWKNQg6Xm
IsOjbrTaTqjUOCieVZtq+KD1Y6nhtJ3nBuYPEdqK1RsIwVKPAGxKNTQuml5YZvNM7US5MELQhhaX
FNt8wghumeaJFOduWTdL03znM/47VP27oSoAbbaa/3uoui/fktfyl501o9P1MT+GqvonGEErR+p3
iMiPmar9iaOzw5z9e/TmJ2+ernyyDOwbjFsNhdzDClz8MWO1Pln8YH0YJo6PrNs/GLLq+p/SFQpG
EJ6NVB1mbFX9g0eiV0kWLfEk7UNtmXxN5PmrkYYIbdje2QjFSKSDO7fzAr1dGkY2CqpC/3ZTXJHU
oVlGwecRhHIyvFm9UpwXZggvjpziWorg8nN07KXCn0iAooos5UthhNqega96RmUzGYcOjXbFxMxe
vCwtONhj/jKZ7Nh3VpPll2bqh7M8vBZVQ8NUG2ePHSLtM15WCmOXIS8X4Gb19IqrqphcSkHmBeGK
rgd/ckptwhIBGyGoTZF9iaUMC4XWFDRCz9zTkRBmMqqTAP4Rgq+9WoevGq41eIK+0ag228vKprSn
0RzsEqnNvUM4ZHddcAzxSWMAaHNTthJmjGWOmSKTsupr3db1c0WA/LpvZ9nrtbylnL0dv9rFUD7r
XWLk7LOi+QhlXtzOdRq9qrGq4uhQOUugiQ59QW98r8qczu2RTqmpujG0uWKoamM7dOmMsrYUVmfX
tkYZlJ5ry6aeCci21Z49aB8BCsGUXvaNa+p03amJdcMoxuFWrxVfpzZXcIMV9g1ZyppMetrdaTOy
ZtK2dEmMs7aDx6+wikhZeTC6yPLTeemPNkjlcL+0ijgMlIKhdESGQ9zAENbJlgu19AgF0T5d1P1d
r2OIT3tlXNw+G5SnxMrCp06qp309GiKgRl06jQvKGiBoE/D/rHvjFC6nJVL6zzTNEWswCMmcRmjW
x9i2B7LmDlVGHPhAHYDjjM+DXuZBzdKbYiVyBK0mijVc5dLUrL6WPnsV67w5aifU94iKE2Ig6di+
APIgVDxy263J6WsRblGnVLiJzsklrjPtsxoVya2zGLwaHNjmTkEA3PQi1o+KSlcL49sq3klah140
o8mq3SB246zANwdh4JlFOj1LZdQcNLlw3sdmtBpq1Qqwaoo22kmAN8C5OHRzAx3tqAZ5Iidm3sTc
Z9a2VbwFrkM711edZgnH7blVBJG8FL5jdNQ64bK/53PMmB608Y01pe1Vq8zxwWLS4wQKuA6S0qXu
SyaZdJ+va3Vva0I+Rw01a74k+LlSRfoVu4KefV1V1NcpGZSELqGCq/xpojtzxVdQN8kBNQOoIDMb
gjzA//w/9s5ku24jXbpPBC8kmgQwPX3Dw14UpQkWRUnou0z0T/9vUPK1JNe1y/efemJXrSoSPA0S
mfFF7KhKEbXtagz6KZX3mgY2M7+ilmlk98dxp50PxdAN1N7PZng/Db09nWI3Tg/NIG8Fm2+Ir97M
lB4c0UTlyMMIbKgnvtDlH+hKn/AZUpGz8Ton0Oustqp1uWznOjCl0BgS0a4XfydDhcS8dupivGpd
ZmxOA9NVV5rDC+ZUfGQYu3y746vI/XIfcgLDKMXQ7d0YDnZxJbvWBJUCkz4PNiQgOvPBmTUTb5iG
9E7irGyMw9CpJ4dugDsj84NsMyp7ONqqP9EVJS8VWPB9gc9+k9Nwuad6cbprKt+iuSxvVpXvRkd/
0vndoGx1nw/puHayFM8IMd+tV/NBYtZbFSHQTdHE10XK/VG0eMfa5KpPTzzl+U220ew7L6TDKrE+
yDDGq8lZLk0J04DQWQlfaH4NKd6R8epTDGf+GGpVrQVvC40jvr5JTOdD0NXRBvtIsKXhwLikswgP
0bJaE9x7X4q2XoUREn82fVaafM/Mexi25pnKANJYYG/Nnanjd6PNrDBPqyefPd+x8OtXJi75Fmn/
3pxUgNabP0W2upFDmt62TfmMXD+u6G7xcAvsCrN66Jc+mGL02BebU7Eyh6zfWCV1QaturH0OJUjH
kyR70fW6wTkRywvKgWZno89QRugEDfyerFHvbARFSFhx6QxAScziE1ggJ+Hl1fMHsAn6EowDB0lk
cIuv0VnyaV+ZkbLgHXTlvQl3Zk/EiEATEy5QJtV8TUlaGvL9ATlEmrq+a6YpuLdnhdOakGZ+lxnj
cCMD9dmrYhO5ImKjDTNua+jBL5BJRrEss6hJVAtO0aOHwLqBiks97eha2xkmH763aLrO6V5dTb2g
cizDNGe4jmb6ldy5ymi4JbJ4rahvuS5UhveuAMjT52F451ohvsEOm7lbmRMSbX+mQH3YZBYFC/kY
vsTabO6s2hturTEYz4nS9r1MgvKBDqBi3drypMH2oGPz1UkN8z0VksQJDf4RpyO6lOQvtTLvdRh7
fe8bgbeesQ3t7GkOdlgM869Sh+X1PGx1N3dXQ+tgdleddq5ZY4wrAFIeSCpOBvfYX4i60F10Boxn
r11QKHvKVOJXJ8+5t4JKU+abdfd8CXOoFGZ+m7qhu5Kl9LaJnPVGCPPWY0i5aa1UHYvZtm9zqqM3
RjfVN+4gPrq9ktsGztdDEWTWym09+I6Vg9wyWJngmxFnTP97AjiCQkvAQxYBJYyhCHQqORN3D06u
Hiam6cl4lC2PSFof5dHIIW7+G2H5r2Ro20Yd/qt98uMXiJfQq7/86Gf+/lO/75TFb/iOwWiizS6s
ve/b5ABTIUlmT+JxRhDgn39YD+VvkgpmsuOW6cDQW8LOv2+Tnd/AdwD8Y81j941L+p94ER3v1wgL
kDLCZgH2SBsjJJSGn/VnoOC2EQ9ueQRLrxkyAuOJ0n5LAx1otrag8nZFMscarlqLSFqhGwq69JJt
iELv0BROQgVWiJmWDb241iSaH8fMhImdmAyXI0k0lqcGaS85Phfj2DSbCbj2SwCB5WjVJsnawB3W
TRw5Wy/0Pndl3R6Zx0R7F6PABsW4WePoAas1t91+otsKv4btVFh8Rr2jp6+ASuxzl7Avf3bqxn8p
lS6OHa1QOzORu0573sbkFlr3IANvBLymQzklSBmx3cOI1k67pJll9RyLrtnjRJtPxBBJbpLwlJ9C
36vZFhf4CFcFovQFv3X7DlSFfzWms3nfDcralDkg6U4EF5MS6o1fkG/L2dFDNMtICXtdv6GtOWSa
Zqq98gDEDwnAGGVPdxWdirCBrHInDfKTc9cLBtDBKSqzjQtr9JZIKJDY0KL7E3DSNo90xdazcR+U
aaMTNI65NmlEuKLuVR87PRv0zM7i5GSxccp1WW+BAjAQNMhK69SsLo2kNGHbECVijIc3UyS1s2Uw
4V1F5Ib2KAsFQr/t8lv1fFf3lr54iUEBV2c9yrEYaezq5BYiENh9L9N3c4bbbZhkvsPhNm7YCk/3
Di7CT104ruty+mgWsD1EbaeHDs7UHo9++NTTgbtLqQr97Ccymy7dZKWXyC1wPjFTAGmONLj1CwSf
hE3yQUuldg04n80EEGXru66FPIElmzbQ4JOvyuErMetgB1Zu9NdNWOCfoADxzmH3j86U1lDhRfoO
hNX0YhB8orV3ds2LUZGp9o1FDilMPuQkgO5VE2ZdIVmQ0Z4z/xSasryxRV9d8kG84yxZtxzCnObg
g068G6vGOFFz2d9YhQrOTpPIEcepk6p1IozCO3QGBKadYm7QrwIOD9nyJBpOWEroy2Vvu5rZhu1i
p/bX7NEw2zeVVRymDhpciYUNi7vTmeU6t1B2McX2Fkwhzi1aYJodrbm4NQz3ELhNxva9bC5KWi9V
3njhVUNXRnzmtPNeJsq7Lyp3Hxq+MI466ZzQ2udowBlzz2Aog1em0U2yBfs238z9qG91R07qlUMm
JxeHTvTSb7t3bj3at8rvYrxFKJiPTqjTbaA6sY3yMjgNlWcVqyDUhLjphsD8NBrUx8Bk7iPGHl6m
3ln5QAMrlrWsbEkfSK/yTgTnfW1sCje1yEl5kve96Ot5R3N3KfFURKH5YY7RC/GPUBvaTFCU38OA
sxq11e4k7sox6MLPUNuAIiUzlhwTFIJwDGdrdnj4jNDNMKtB7l0FymFLNvY5OHWzBWfsGeFENV7Z
m9XRxTtrsM/tqBroO4VKC9Wqcy44h4KnYqrdl0x4BOHYsIgITa81oTlSWnFbtp7zeXLsNttb4Qh4
GNqeV256AzvTqhUcAbalm3HJOY+UZMOIhdSOZvYxMBc5rpsDEHPWPq7YZuHicww0oiXZ2NRe9Wx6
qhvPn6xKsr/FZNWeM3w95qbC4LSKvNGLtmZcyhvysOPOdQb+q5kTXFMu7/FainB6zMmJnRVYMbXK
KgWNj63esE8dW17KwMH5lgTc96Mbbtwsd9q11dnevhMWrEVkgH0Vq+y2tHLOsLhtQWa71dXICegc
og7vKnZP8SqHHMJN1QMS23QlXuA2ldbJ99TeNQg4cq8i9olIJlsVVbaxM73EfPBy+HTS0kxh7ME1
KLAry2uPY+i933vUiMum/4BcY01YGGnXsGG+5Y0Sm2zhwLVvSLj5DQ8HIJpebZBxPKMWDqkjd8PC
kyN5BlrOMqHMRZwSdiMe0XdMWPWds9DoULpzIsCevqkWVl1OY/KpL83wdbake0s17EZ7MjqydIaH
gl/1nHn0EZDk9j/0grwwJC7IeKkLI4+U33xxXAs7ZzNyIhym9GMM3P/kLnw9B9BeuxD3xjf4XmvH
okYcgsmXLnQ+GaTpNs6Cvc7L+h2lrO0RlDaeTYUC5II4glsn0OBnPHrrYSEAem8wQMUx9pzYLPFw
8d1Nzdx0NSz8wHEhCVoLUxCxKL6tF85gvxAHqUWN9pIXsKt1BpBQgPxkaYRSaL8BC/uFXdj7Vnuh
SkN86TurgkgJ4zCDTnGQC/eQNsJ6ay0sxHqhIqZJXW/B+ebX2cJM7BZ6IrQ+deu6IrgiSFESNCrT
KwIOyb6x4/46I4u/dhleH3KwjJiwk6tpITWGC7MxDEXAL9GSncCCdOwWumO1cB71GIN8TLjzbyks
GvdU7qgXHzRkA8CBeejc3inGGZBSFoZkQcn5XbZwJcVCmBx0BCZxLEwmIpV5jM3ofbgQKUWJRS8v
mZIaxgSv8g1daQKxHBeapaOi+gKKyjzbb7BLnv5gJMBVbBwRoyaMon1nWB1tj52mBoXm6XEbLPxM
/YbSbPAUrGcoOJiPIwvCCFQppiRmJgVmce57f7Z9bmpFMSkUF/fFWozZo4ObdeWZKSuBUhksD4ZX
U+w92Cr1Ix55qDhR/KjlVCd3b5vWf3Xwv9PBUWTZd//vOvj5zwTubz/yu8HE+c3FxOHBSXMdJ/jZ
YALYzWULvzCghENa8H82+A6hwd839MQdA7bRdCHYbPql848MJYjobNh/gBgRdAyQ8EhPSJdDhfw1
k96EzMrSaJQ0Z9U+JhFCT2RAxIBFct1ptjANzKA55JmYwUsNr6tyEhRyuKaB8jG3FOw85FVjgiHS
Wtpq3BpsUxxYn2HHqLezewg0XkOA+DqLcdd4u0L1hTNctyZOkBEF2hucNZbipeur1Xkhr3qn0a8Z
gBVMd164FpYBRj6WHsVTQUCwqWE9sebpwfBnQttUFyfkogNRmjBiAyud95ZQBJiYa+fuOtUmh2CP
/Lk+5I3fNbcpcLYH1VCxrPPZRnXQTSfWSvVpfZakk5ee9+DZwKRQcYlJztuRGvhkXzOOoE12Kost
/l5/YWXIDw1S88YIquFjQpvD7cyZfFd1k0s0IqYlJu0thr+VHRvklisDT+Zc5McUEuVHjjrNs6Vt
5G5RJcFrFfiv+Thd+6ZK31r7piOk4vDSd9K+gXJnHjjjiW2bLsBmdFX+P3bQ0OVTUt1kTpO5aQds
3UzwPBaCqqtAWTghMf9BuP2hNNj/daLTT6yNkK7VBF5l9qa7QFvTyQjSRVFPLCrvQ6IyhzhPk898
H9y7NGMIuu2pmruJi9Lfj65UB12NAlm6LR9jhnj7mf3tbTU73rof8cWsHb+1eML11nsDhwvO0May
byonWiKmOU5yz/OOfSLmc966E9v2DpuEsMhpGqT1VwPz2Z0NSuDA3pjI7ATP76MxFfWOzixjD5p1
PjqxBYS9sLxjzCH0Adp5eI25rrqqwMkUe+we083YzbIXePh7p7UYJ/7+b3RLp48vBlPYuuMp8cYj
bL7TCWv6C8sT2iTPzo33DWCIioIwJKARr/oBgzweiTgU5uu/K+p/Q/ZDm1iaAP/3FfX9RMirjH7S
S779zPcl9c2Yx9TOo9jAMplwMHT8rpnAfmNJRfqwF+XjTU35nYcJKoQGG9sHpoZrD8zR/6ywjskK
y71kUqvL5JFE+T+STH5ZX+n/oBPJprrBcljw7V/CmyycInHDZrjuis+RzsEbfPrh3fgPYLhfBpdL
wchPF1gW+B/y5Wq086IeuYAPVSLGBdAFL0l/nQTruPj815dyeSd/eljw2PGB6Vm2za7Rcc0/Zdk1
ayoGpEvq5tNC4yy+0znphEJn+KjTMfLpWAz91txDnNXGTL7fnZLyZNpmExWfKwYFXnQTdU4M8XGP
dc/cw0vuviSwGZPiqlM8C5yzKfGT5eDoQvXopyY16I5RhY9T0+5gOrgn3abiNm0qlko4cw2pK4vW
7ZVvk7JZWbiewTYxfsEk7+ZFE2cPDaCRXq2lU/Ye0nTlFzAJ5WQBz+6skxJ18m4a8+6chw2xjbnH
cLJjI5/bxdmDSbxxRzlf+yJzh4/Au8B3GGyu6I+0FCEI17FvHIPRxjltA7JiVCImpOepnQ8Dg6wT
ChCwUu+NXPrvqvHfrBrse/y/REickWu712z6cdn4/kN/yKyIooIiYbBAP8JA/eA3xMdlc+YBsWVU
wR31ByuIkjV6ckyIj9JaULk/7Msw37Kbwqgg5JsG+w/8CAJjw493GmUQpkDpdQNWLjaQv1a62VRV
0rQKa6UXIYdz2xbe3SCQKW1ancE+I/v15qfUGJgmNw6sQ9wvAZmUvj0ozEd7uxHNnokagYa/WwN+
tiDD1EThA03NBhTLNWvoLxLwiJSCM5CTk0dmuboJGJPd+LNkh8jWCgVFLFrKm6qSqBAkNzNco+4x
7L6pL35ZijuNuRlRpn5TaGDLRNfTm27j8Dj/UMRxi5yTL9LOzK3sb/I3xYdR6CL/OJIe5AMpoXnj
fFOHxDetqHoTjuJFQ6q+6UmBmzf3/pvM5HiaERzD/OBEolospod0OyoQi99UqmDw7dtZyO5dUEER
G1RToMLlVo4BBKzgJ2orTGI4QDUXSGWdrhNyCzCUMuZfux7DXX5qCV/iTGTpQF8mbXhHLII8QDTs
wAk/EVg29iqZ1amJUrHv6Ih5TcxY3QSFO25kquGlV6e6kvrRg81/KwLSQZ7u2jMgxR7cHzbGxJvZ
p+VMzq8bx56uyijGx5tm2FM6Ud0bTvDBtOG7GYmuqg1g9fjZCsMaHGnnDheDSfsdjORgXHtUm2yH
pB+vIm9+MLsox7TcIRPOQemt9MCxc+dnhvMJdTyluSHWq9F1nZn9PDL5veln9T04Khsbm1/cuv3s
kdyylcguUIq0/S6NFDq4MJKbeW62zhRauybIh8fJNCEXxXZ5HGXt7vO8KHe118bZWijZrTUk3u1c
euIAJqneejModXs2G2JRdXV05nZYI3zKO9715uzLTMGHzM1TJOyATgLpn2Jh5tEmLM38uW6Ffqy8
Kv3aDIKgSgYM8KHRyXxtl9Z4ZfeUkuHNkzuHQliM2rx6DASLs7FXi82ylSved2c3I9whCGR1/JLx
tUf9V+O6RaKkBCAa7k2vH64DdpRnd9CInU4SMJCHI98aMyjVIbF5Qa19H7dYezsTp2mk0Kkpxii8
cAcoUVNdyBjk2eWXrI0xZwfuB93WDQbxYkU0hBSw/b4skdcLda7OBsKnOji1gwWpTVP5gf37rNYh
I+Qjz71UAQe0JwYgrVdOe/bt+Es8V8NctJrCs3CUNHlFiC2YNnmUR/OK8abxSPEPJgHHyNtjgHeE
hj+3com0mphovVnRICpyoIeZLM80xfLuwY/HIo2PPtV9vMvJcacov6HzWlAGJEnvD+qROoPyKsiD
gLdvbrKFzRLu7IowADDT5e6K/cZZRZxS+n0vcxuWXgv8wCvNxN17WSWPWaveBfEwf/L6edyGg3aO
9JtXy4Mb/F8tjOqalXD4QArNx87oE9BdFdEM3DVL0EPgqZbDtKq08j6WoRd0G7dRJK4rGG39NR4d
5ziKGREGlYtCHtG3cXE1VR48SDIC/bGKZOVSJZQzNkpxyt5gX5UKoTWybrDfDHdSkdQjfEz0fzWV
Or9xuDGwGoE2Xw1E/AzUfFH3yG0kPSXLwRmqLs0qwCeLJ45PDWEou622I77NC3vE5sogaalJQuBX
SRbnisfBK9+ILnE25uJskW8mF7X4XfrZVRcYW/FtYlG/Vi++GLhetBVMDACKeshgoS0GGldn2Wsa
oSqukjeLjQGh7VZTYW08g5PAhMOcLbi33qw53ptNJ6qxeu6cxb2jZmDDUyGGD5EPPrNfXD4k3JsD
3NXNbEhDQVjHDWS+GYOA+TjnOIBj4Q29esAVjoUoFDK+E65lva/6guzENBYkUZSObtkx19hssR3n
a8uL9cdqMkt0OcKYLnwSvEvh4mKKm6Ah1yfG/tLiH8NSJwYXpJC9jPKyqY1vKKfBE+X2msuBv+u/
sr5jMWJUuWs8qT8C6uUSUWAypGBt3qWTnR5VRhaiGfBisTaMx3TxZ/WLU6vP+NKxznOTZzgT4PdU
izdjgSOQ0MDkhZDrXdHpivXLm6zFBqZxhGG9wBzWw1I6t5QRv31sB8OPzwUaBEAkmxfZC2+rY/ma
2pgYBh+3bNaM9hPenvqYIjHcBii+XLV4tZrFrBa40IGYJF2xy2XJcQGUTn6If606Bh4ZNLDJRJxF
Af/PRG2taye9njDw7h3kBn5gHq2bkhvdgcyLjc5dDHWW1VmbIp7w0ij+wc7b+JguNjxFKPDsuA0E
Y13H2PTcoH/tF+teRlpqo4pq3C/7kk/5YvHjW+qCTnpz/mH6xwU4LYZAXfVUYvI4VWfbX0yFLjUt
gANoZnQWQ/rkbDAbURE6KcgOmxED0pNM27bcNos90XlzKk4MlMZV5CwOxvTNzUhfK85GP/YGFDg6
rfYEePA+dosNMlkMkWzh+LjiF8NJ+xvDdLL7yZQP2Ri6+/TNUWnDdJlJSsT2Rb95LrE9WDdhVmId
auPq47SYM9vFpolvkc8LTATuTcNOy4+22xT8Tsyd1mLzJBuPh8hbzJ9+o8WVZjnjLlrModGbT5R9
F57RnAYEviCelb2IwPugyT5sGEPR/wGZpD6lTGs9QDm+4SArkUcg3xDi5zaqprgfYrO9rtJ0unPo
tcQo1pv2RlKdThY5twwm1fqekAUPa8r8LrFbxZhLucUooJHC3TDuxm4yOEj+K7dwcIUt+Ak6PzC6
pGPzySda05O8MIITlpNh2WC6loKHVQXbScyts1KDmoG2MnjDutLJK2b7s7OiSRk3/Aj/GVkwTfur
Rswu+VPWEcJYpSPdNdsT9d5KKUG4Y2xROPuOh/4dd+0MppHvAKSzilRXnyqeBA5cxOaQUQc2EsYI
Y9zxnsP+q8pt/2EchbOpGs9ALweccPZVxkIbB3a99yuZpxdFedYIHdMrsPD545MiTX+PxdD72JCV
3lcSzx8c6cx4dQTNYX7lNeW+0Qq6F8c3RrsxiGMitwySYJLV4tZCL6fHhgwNJ1Sv/hqUppOsczMy
j7Wf5ua6XEZp2u6gOIzfRmzy28Dt32Pdf3OsY8wl/lIMWmoeTl+U/vLTwe77j30/2Hk2QEB06sBx
+NZSTPmHh8Zz6XlA6/EsKgnQMfhffteDxG+0qdDQznmQonZYIH+c7EAF8utg6AF3W+w1/4gHiKn9
l6MdFFgkAZ+ObIY4DkL+z4IN02gg5x00poDBr70uld1upwh8wTkOe/c8mqrpHyKwWKfKTOIOqbRs
7+KasB00OUE0H606L1ZMAZO1R7CdUmbscVY9RusIcyPG3V6bbKAIR0VBA2R6NIbrCAihvRHkRx5H
q3SfAT+/5ALkPL/qsYfQ/NBm1XynORFV4P+YdFEJseIuC1nAhUcvJPHwSzc4brkC5SzutazsVVu3
5nOQCZQnw8AOWZZDdtJMqbZV4SdrWfODg/SMLeTd8boY2dsIQ4j7cLaA72kj+KothZ2TfQpx+r6Y
1RFcR6FWzpjVL3Yv2u086GA9O5r95fJGZTOtiMqLP/H5J2vD0Pz0IHp1dDM1+3vEvKBap0V3nLPU
WXt2xw9qtuYWfssaKg0TzSJ436dzE63L3DefvaKdL7LuAwaNAf5dc5wP7aDVsTc6ro7sOxApMZg7
JC1Bz6Syu1XcBsqFZsgQcDWAejgwb2PPZdWR8YGDnfvADLvg2dzZ4kr5OjD3gyuAR2XUUG36qBPP
qlhqFLLR5LeBVhpv/Do3vs7xsIj7TXhiBhp/NggqXtdgwPZvf59e/iq+2WpaYYBQRwv5vFyVNNat
PemVw85UXcnBEtps5XN2JioG6tCfWkr8+i5eeW1iAS4XRAdXEK+y4QrrShwfwlxk80ESEMRd4npZ
srfnBTifhrOB/73KTrNTHXuFjM6svgeWzQb4uTZMX+4AuPgmj2Lwsx1PiGdivtkp5eG04epUn2rt
Jls4Le5DxYz2SRl2/hDXanqmoFJf4YYJqKDs/V3MsUpuqCKwgUx10Znmqfh9OtWM8YPJPRs1H7Yv
0wzhraW/oa94kensGlt3tnS5d2H2rTgUwi6WASe3kTjqh5nN/953dMA507K/DtKmXy1URcHEhYzH
4tlKE5jCqdnG1xnFWWB/OkKxspLWYJG3JTbGlEWRfty2UabvwyKYLskMqcYmeMHwy6RkVBaQIvpo
8PeiDcRO5bH9lNP/sC/80aAGT7LjJ72YFP4+E6Z+wLD5TPl8d1W4WJD9cUrXdCwMMZLBbMxgXvJL
EYWYc7WQcpegAa0dj8BYh9ZxikIsgKuk8xUH67y61XIu7jSzqt0wTRzEE0ecuqgMoDg00ZaMlIOj
TLYM4Z35FDvNsl22BhtngGu/G5Gx2BxMPn2QSnKjjoCoHZ1xY1jAItbeQLNb2fbjdimOYwodpggA
g2YGU9v60hEHuRnhp5xLY3BvWzeytn1MHHlletrsGD5DAlvhqAUSD4imgxZles/9bCSXUIjodQLT
gIhXHTFmyc1cYzMvYS6iIgkSxci6NmWLJj/zMrP9h4afqrE8RFXRIOaa2EGGXkDrjHs7WXSd+R19
aOZ2TrGU93atTjOawZMhKUmzGkCPW4pzq3bFnN40tuU0Y6uAF+VsrBgQB255V3Ar47JddXRlbnoJ
LGwI6+ouHmf9PuD123TMwus61kXl6Y2ciTdQohavjUl2sGUGuhhWBWx7Xn/TdVgZvIpEGym0NRu2
+FF6ZBjWY66ytaWK9NxjcyG9jRhAbtQis25LQu0q6Mc9noNyPUzFS7VoH4S2rWMVNt41LGjjMctQ
TVadFc+7AP6WzSXytobDMSscV1l28ko6Q6qBxZz2blYlLbsQWxQrS5O14ddgLLJTjhl5Y4lZmN/u
ohoawsOIMflJEdLbSMNkWe2tio28N/GEUZUs95gkFRWxueVwOwzWPXNFLgQMfNyUluYvwc8+XwZz
6NGjBiMor3naT9daZVDiqgo2t6Yp9KJ8mIT/bpf+q+0SdgFMAv/77OzyovXLa9zpL22rf5TCoVQs
P/l9xyQDdjg+aHoWYnspgGPz832CxmbKNfn08SO5cvEk/OE6pv6KQKWNVwE3w5L1+2GEJn5jtIZP
AWPBd/DyPxDDlxHZDxYFfrXwGAbZSPFczPy1tCqw6ebJaqM+MAD+Gle0nRh+FS7n1mH1w7tz++13
/mU9Flda8LE4ImBs/ImukZPOduZRcCX4+yuMnh/rshpXHEy6v5PR/8Nr4hp4L1i9if/+MhZEjQln
mkNr9hrE1MLOvNE9Uqts5qd//JJ8jB20cnA5k2v9vNvs6a+EHjHXcCuyr1mefWW+/zXl3/+XyyxI
Eo9P/E+fUYt/SsfuWOMoBucY+AveM6alMhuT/8Nbx3eVYkHypJ4v2I7/NPBkAS+cKuYV9SHpuNEE
7RZWln+lyvRvXtTym3754vnSwjTC57QMj35577yeXRqSZH0g1p6xnYNzGY1PwpieKMj1N3/9Di5j
kz9djKmS5AyCX3+ZOv04xzXwSnJvVjXUfUoQPF2oQ+pjBK+M5MX0QUwkjrIxdtNM+NcX/g+3F1Nw
bPTYkhz5p044Mt2dBSa7PtRNAiZR0ZHgBkb2ZKT8p7++1PKG/ek1up7FqsB5irv659c4d2k3JSTu
DkYHCLLo6mnLVjZ8+Our/McX9MNVWLJ+fCdpw3bYvFNYbgSje0avf+oLXB1vpY7/f1da5uU/zN4H
kAFVTy8Dhplu2kD4e5nhzq3//vYSyzvz0zsXMFJEugEzJF1y1L8M3aJuCIFKaSqFZRqRX8LZ3wIU
XA+289wknkEaE0HHT2NrR8LeXaN8nP7mtZp/fl8XyD4NKsxNHQu/xc+vtsLz7xe094FbtapNbfYG
0ij4zNvZKSZyhybEykAJRj2uezDVWG3SnOid3cBl7RsXYCzGbzBeI/EvVZXDK2zWYu2lJKHJgC/Y
6uzrhI3jGM2iv3B2DFeqnuHZcqZrVlXN/wWFsdiaGdtzbFHQPMamuMPXb73PPAtjNkm2j30BsXco
RqouPPo+q6kM9kPKLZV5o4zWmk1UscoWQApsVefYtnG5BYddblvLKx9aI3VOZjAPr03Ig0a0kr9d
Cq6SOtV58HWfrmPPj6stKEMGsEQn1onm7zHYY7/QeUj3ek/5SBVE9U1kAeFsMVLIdW8vmGPR5cG4
auAN7mWoqCgxw3GbNoB7DVUb68Lk1c0Fa2eRkhX02tJissP6FkdJuYWI0q0BDoqFnVKBqQmEfXIw
KexTNVdnASd540Mc2mNhNyAnmdb7KF4EhQjWTuRX+ZMcONw12q4/NJRJvQcLB2HbG0T9oS4cisFl
2GMljT26QxAEifrQyO5wTjUclT8R93NJQND5wVG//Rjy1pzjtKlvZJd+NQWfaYeR+z3n/q+UOYcP
YGer47CszrHWAJxzCxq0yk3M65Rt5vFtSgDiPh0T58hDpV1Di0j2fZRDfnIlu2JyDOUpiRYrt9NF
yXVk18FNKqPyK2K+uBZVypvY5fSlWcbg+yCkufNyytrZ+YcQrCVvGZXYvMyOYhwa3okjNXX06KM9
JNjhk4yid1SHooElHJLSLTZ5i0q5rmYl831SWmZ9EV1fBxuJMPMch7URkH7pAf2WnP8YnZmlujLg
0L33AUtRBJgVX5liVCde47QtWxZvPEbNwUlxKlfc3I82+mG6dpW5dBDikMsYgsU95JyxCK7UyHE3
CCw+gjYcM5fQRh0hQEeZsTZTIN2a6jMSxLQwrIF/BNuZVOi+5b7v6Asb6vipLY2o33d+mb6ATjZ2
hLr7CwougJ8k6PM9tOnxfuCM8TwD3dm7NQib3WAoiw7p2nZnTk8kqFZMZjgJyjETn+ag1p+tmXsL
F/wkNuQJ9Lvea+sPUeq4Z2/KWcbHij9WdYZ9ksil04YqFmMtMj4JN6YovoksINgLr1uN2iLKlH5l
QhZcMRayT/whYicieNbGpOGnx4WMEauChS6fB3s43cOqAw7LP/h4Y58yIzcGawsvgfRFTADoS1kH
7qHMJHgGGcOvdET3XOsJDwSBd0WUhi/CPPjlCTn8qw4XwqfRmpyv832goi9tp7xNrIEAN9ahrfpP
XTwlp6KU9FaEtTzzNPbu4oVXLkr+LFPk/aVvVbCFF1bv8DrS00op/Htf4P8xAxCIM6DiaB7rdl0M
GXSULMGmZLf5ctRT43gb5/W0Kbs0uLHZ1+4ag7s+WwoN+74OV7ZOp+2sWN2KoYXbvTz6a4fXbRXp
C2QH/8YfUpfsq/bv7L4V10CDxGOKN+EEJIKrsaB+7Ohdgzo1VZu+5OW7Gk4jVcUNUJqyG161oag6
izRrTkwD0J2QwK8dE+SFy0KpFOuHjA3vbk7GBaGspk2IdA6ax+78u7DK1JUYOlayt81eF6hmn5tF
ByIhZRGz4IPKgUtTqKMOifYxZwkxvNImtxwfS1RJTcDO4UyukvzGruE7xoNNiEoX9Y1ulq19ZVVn
GKZ8mYYmZjRfCDJwHu9OEkKWKiQOjrdVd4iTD23miy8msUEcsXxHXHMW1xn8zev/x96ZLcmJpG36
imhzdpjD2CMyIxflouUEy5SU7LsD7lz9/5BV3SaFaiTrmdP/pMxkJQUBAY5/75q5Kt6NGjDBn9jM
AFFK9yaL3V3vgGSMdQcdbs+siLIGwpm9+ilVXKEZ090G3IHINTzO64FfGFJRdO/x+dXj2MQRWFRV
naJ5AH0ZWHuMmNVjCnno87HkmsOY7GxIQjqEiJe3I0u8hiZSjtEg9oJWw9sAQw9WNUEyelKH+zKM
jbPs0ls7tcdPRpb1t1ol8gzi8jEV9vQRa3WwoSQ3Rdtquoc5TKneTCClGqo274r8s9925Sa1kzdc
UPGafI0nnufnbhTxgSBMY5vE5E2TeN/cOrq3IFg0aWye82q41K1YPi+9nJ6uo5EmxXNbsfLieQif
RRmYj6kwm3o985NiTFoWWc/pmx2CH3PH+IcunDzCNe9tUlN1oYZDSS9vt6/oj7XMhCZZiYyPDLv3
htmMObPlFslonjVjkR8rwq7DVdCQBVS9t9QChtFYS3JRWq6ovJVAVNFEq21TWk99aZWnqbXLEyQ9
DSpLNewJenLYDOZ7GV/0VzWfnixVzrx8io71rwTI+tAixZholMkSvO/pWCYnODgbOskqozE4OeNQ
V/SYYmey14wD3eDhGe38t15nCX1ZSLG/N65Hp2ga+0eFz9MEoQk7oCO8G9u2V6zrmpoGna6xG9G/
Bt5Df64zhMhaghgEsUk6ZzPbgzmWrD39lwDfK6nFqniYMlsVq8ak4XTZ3+ORbXw9nqqCwIi0Ea9O
MBwaqj1XGE8gxzGv7yyP54uFY7xHVWGcTbtaAu58GFKDorQ9z6llE65EGiP1DfJgtWDZqo1e8sTN
tz528a0latAbvzU/ldJSpLSQALBScSc2lWPRYhASqHLD4xp/jQvfHFa5SV584StylgrDOKYKhdjO
j0vWN8dj+XZidicMbEjRJics8Bhxwod8mMpyHdCysP/9bvRdN/vLhhglquuhuwe6uNiMNiqtjcAZ
aIgsS+dEbkL5VpPUjPAC9F6UcMdsrYg54bJRuidvFoXJysyT5pZiBAt9fvnCi6s64Q6k5RYX66pP
mwp/MFUGV46VhtdVl3XkvvfhFrkDpjw5RC7pETyDNoldNbB2GT3YjnBe8Aosnk3+s0co7t/jB2O5
jRCUPos0zb68r4FVJcJgPc25lfxhqvqlYoowUirDlzQkZNC0lF8MPP08x87Qi+LQspnYgF6jk4gH
FD1Bx57pvQJBY9tOVrhA030edtRsdlQvSBvr4MoM/zQ3XzJc799n6Uun32DBHi7nZiK7WQ/4Pl1p
Pg+od7t8KVfwSZAqhg9YR83d7++G5ce+vBkQf3MkiPTFHvPzZNI7o1vGEyW8Y8uGtIpI7TcrtiZV
ldRXhqPr4++PZ/4yCjGOQeJB4SEdt+1LDq8Cis4dLy9YXFu8oKyYRC/31Ug+OTeWNKDR8557jULK
6e79FQwga3r7xKKeJzELg1D4wgXgpVRC9exxfv/9fpmz0aESYuXyLS2CcS8lmvTGTl6TmumBZPJ0
76L8uyJN9E/P4C+IBUcBqLDIMSdvxL98BId0GCOP7MWD57Bz9WJWjaohHJDETTb5Xg5BqDN27jCV
46ffn6D16zzM/gDRCTSqiWLichbVZu6MXTEllENPcYRVpA6vDQy0X8qBfWlfT66+DQ03fK4c/ZyH
un0zGpdsVT268VrWpDEvix3ygBayxqbmuGEvh+DnwOY3vM7qqv9GV0gkj0bUMzW+f/v/dc/9yT0H
ymz/8EP/Uvx3XQ/061zmyP31r/4t2w7+heuNFApqufjZUW7/B6sOl4BmHz+EDz5oE5DB//q3cNv+
F0Jli55AAD0/tEKWrL8NdRYfCJgIwAzSh647/K8MdfbFo4fjxHYsXG+ujxDcp/Tv56Uo1d000HcA
IY0uJSBv1jA/CDowiamng7Vus0Cu3MYXr73hR49+Ena0Z1TRyejSCOqcthKf9+01HoNqD606LpIx
CJ8AOe5j0JSIA5MGTrXGlb42ibC5NStj+J51pNEpkiifHbpPt83CviNlic70dCcLP+OPG4C9btl0
ddNelsZ8QGbkPeDAVjc//GR3fy27P4LoF4sxV8BxUIa7XAauKS/on69AhhYTHXrTHFGSqjuPnpI9
ksRwbUm5nBff+/fHu1iL348Hjo5kA+ck7MXF4m8ZplBxnjdHJlkQi7h4RdNI42rENfj9kS7ea8uR
fGgBFh2E+cvK+vOZzYNngnJ7xZHoNPgz1FkIRV2qQ+0ofRitwtkzbEQffn/Qfzg9PNrgX3QQc5u+
o3I/YIyZsAjnQlx6hLfX+cpYxB69sHx3MygXLcB/fzQXAwNAfuAARV9czDgMprQqM6JIxeTm56or
553yOnO6Bbp6/P2xLkHN5XqGPk8rLBKck+lcHEzlJKeWuUiPbaIKemoTpPqbtmWCCjpzXiUaYcSA
Wv96woJ+mAtwB8Y+qOrff49frzBOpgDwW2D48H95lxRm7+tyQBDaDgC6G9Vr+N0YpUzoNfCgvz/Y
r/eQi0cNJR5xPAF1fhcQeIcO3padB49szvN9HXT9Rho8wQ3Be8lR9ylmI7+i3uYPx/2nk/TZJ6OD
93C8iIt1KY+zKY29JlsmLghaQmseJ3tYxC3pkP13x8IbxueHi02Gnxd73sWxnNRAkpOE6TFFrk8O
mPbpC0W3chVTovP0++u5fNaPW7/lWHjruJRsgB33chOSlXRfd0gzj7OeJxN3vF+eCqbovxOtvqr/
E3/HnVqgsKp+XNUuXS/vx8FxTfD0++1q/fzsD17Rd16t0mMkqOlDrIhceOXoio74EfI8SVMcZYqM
wXQFsZfRt1TGyV/ps//X73Bx7yzXFdUYC90SobRUDfz8HdBeEw3kSr7D2C+hCtRmreKZYtbI1szE
cYBa3bP1H9bz90t4cYkRqnHiYK28Qy9psDH2gEUjPz0mBHx/7DKvPBGcoW8avMf7zm4oo2LHq0iU
0MSUr6MJCdJx8ir1zfRI4fiKuKo8UY1G9t7iE4/SiP/MmXH/+zvhn74nQh+2BowAdN5eWtlzoqGn
2TeMA3UM3qvWg9Otx7ZARR0VbIgxQWd4YcCofB+R7ZSfBWHRS1drFB2HvHauQhlGR+JG7ZvQ8Hp/
541JndGJGfp/2jr/etcGgquJj99lR/KL616ECF8IRE5JnxAo+vI4UDnS5F5uf39NLp567hiqvvjJ
EBnjn/Qv342pYXFRSKQ4vgtCQI2AvitiNa7wZbsPvz/W5XL+frBFQcnbkckovByKdNC7vaMylnPE
jJs4iMaNKPBYE3KZ78g/oUNbTfrKHJT/2SgrAKjalfs/fYlLk+ryNWyY7mUY5od+lyX8SMoVMCkW
T0Z08Mnb0ke/sFhMZajs5hgPzXyPXEq8ukmUUso+ABDrJoFIS9O8C5AHCqaHeIxOIUK6OznSVrnq
2wwVT1vIIV1beTmfyeuKTknaWh/mwo7eRtIgnwNdzOe56JjlwrbzHnzCXU5WCWcydoIFty+RzLh0
LTx4SSMOkgTL64ThhFLIJjUeDX+a7zXt7ugB8ZPclp2QL0WkxetssI0jiIFE35CskTc4abc5VWVb
0mkDYHwgjdbpcUIlaPxsv1v2CHXuCCKHLOcFrNz8Wg2l/TTZdtOuFDSLse5V5LwVo3TAUiXxlsgE
s+RMCGt5clyWFrMbU3BwFu+6j923GKjFIouUbSNqaxFAO6ZhPOxE4jn7yRFshuCl+m+BP1hb6g/8
z0zFdOPUZsb9xtMf57u8Djk8yaHGfWD1rJ2iH/zPM1GZGwX0ePaXf9ujYyd/2CXuhkz0nrh6LP+P
YW3rM+8ZkMlWT7fvlzfyJmRtVSLuGxt/74lKiyI5RuQG2SdLlMk5jwly2rZzkmEke1+tBhMgQs6s
UIGpjC9wONyRtVCIoIqCJo8hbbh22g3o6OqESB4duKmPA31LBt0QorqzcxjCTebwOeDO1JhI0kX7
1k9fO0E2Fiq6DlQ1nMMlSN3lpUCsrf1EZhTxm4bFtS1tK30t4tLamV3tvAAQU1LGQwMWH6XlfO9O
+FiwC1PSKcZW3aaapIINGuL0S+FJlqZFoWVq4RRbe7kPy6mOTsGQTfFaJ4FEkqhMNjBmSas0NWnc
S+/q1njSBYFyjF4aMHac70vXwBc6UxizGZK+oV+LE8DklU2oDXtusC2xp81LMsVUhquAu5fKK3XX
RYmqD0PCxEBqpvHoJTkXTMSOPsdGkZ3yoNiGMz4c1TnqFqSYIP4MM188EXRP8r27RoLX3cckdhwF
SWxXeCOXMskiBbPqxYJizqehFd4BTXf0GEt/W4PwvbRelZ/hdqjAjVz/Fn5lD/1G6AcNgXtB9tXn
gFzmpZtmL2pN5lpO25cw1IynyLLWJqkeu1DV5drpqiInZcyxnsN0vE3jSp/g5nZJ0tq7aYC5A+xB
vGYQt0t7WrhqS06ryINunaC72+iRgihrqfOE1P3cYSk94wK/7ZQMlq4AtRmBvTBAWLTOtemTF3nl
VveNdYVpfg0T6q4bWU0AcEQJ5bNJ1+ksPEIx6KYjT+5Dn+hXyoBfmsHotxkllhuNXx3QbrSOqG0/
tUsUKSRHU6y1CnirDY31pbQhPG1iF0cLpMUD5AaYehzH6Kqu/PiTJCplmzhanZKiZAF2lj1Saekb
L7XtM4m37b2ZUkNjjG6+mWfvOvdbHdC7DANNyPKyiMT991agVNJQruS7wRG3Kx3b2cmsHTDjyIj9
68Et+EJ1gbIKO5c1P7mzY+/UVEQD6KkVXknTbG/ZKDnJZvIWX6wviqeOuKknHEnTg65d9g913wTx
ij4Ofc59oqSiktQXJ5fBt6xMO+rpPHVM2rDkoOyiz2QHfAjcafrgo37d2vMwbJf3D8Rp3YzJOm3a
8q6XeH58nrQCBhPL98rK62jdafYiOcJXiou9fu0JP2UpqijfcNAUrfw49EHcGX2IJsk3Jdu8XTgL
rCzTiGOra6zythfymcaEdmPio71x2pkYvpigdGB4L3eyHZblEt0yXSVVlrt3YiCA0vOH+KPM4unK
HtRGptF0yqZBkFgQTOEXm1RGKDa0lAicWSePVdglJ7tl346RNOgP84hiZpWxd2BEKIz7Qnf+ttTd
p4rM5Z0o5fiZCtzgTaKe1wTLmtajVbr+RzXN4byHczaIkJpg7eqB/Vil2kMzz+GNMlrvviswoqL6
btaGbP0DE3R4CJVpSXiJofveWEGwbaZMn1ppn/3SEeeQ0o9i7YTmNTaxii1MRRKcX4T3RChEuKfs
yGb4zxIHmKIzHw269tamLMITP2r4oNxhhsmNKKqqjNH5qmbR3/ukox8VlVOboG6tTeBxC5DtR/Z1
FLv7yTcIjgzkSONF6jzlJL3fxbKH14zM7EhTi3XmCqYbuxzX7RiZ+xE2k2yb6uwBH6xRb1t3cVu4
B8x79nUYx5gampm2FLc1N2Uw1ZCYVLcWcx+8DDRlrllo2vXY4+FdB7Lu0OtHbrBPRgLuVtW0lEL1
UfxcCWXfDCKob8Ucse2ng9dbNb2RVVudG7VDpD3Ue5FX/mc39wBxKKOiRsgNUB1EdH5oI9TfJeP4
tbSn4V46hqJjqcHEsUbWzDudGuRuMR65N0zsS60j8TnRaNYn/BuSp0s25ykri7vGc+Vt0Ct1sNs+
oYgoDODm0ezCfRsrcgSCq7pV0TkbyPFx4rF8XSr8vG3ehO1HJ3bbnYfC/i10yzRaNz6OayKjwZKy
onv2++ZLyUdvu7bGHRgiu8cjSL3ri8BxSOK50RvHuBnYy6LgBAKm+HQDyzpckSpIT2iN2d4d0m1e
Wl+RBjeE/jQ0L+PVoek3jvUZd279SgTceEJjjZkx5B1IhOG8166ONvhq5Z0pxv4163LW7LbgrcEi
QPYiOhjHb3P3SYqh8vuvnsOsuBJOpZK3xCAtXaZ9QbqdIyvGJGm8EWpanRXlqTfp5A5PRhyNr06X
Bp9jiGz8FMTyI9gXc4CvzdUlZWBUOpXVwfAcfcJOHSKs98aPWppUk+dluzGCkTKBrF2MyVNOQKFX
kmdgaX8jixZUw2qjJTJS2XwrqQ5OlYkzEoliQ8U57wycqhraaRjQR7E4JdRiZ/TDm9EkT2ZHkcBG
OnRs8dqa44fAziz6CqnoPLooucXaBB3ivsR0Rxf5bDymRSh2ISV424aXwt4WjTw1czp8bZiNFvNj
samMkqvQBemXiNCUYkGUxBnRD0VjPmK5gyfs6Fm7lv1iWI3xZpHscB0FRHu71ZytTYpmqRNS4RP9
4uPKGtzuS9SgrMChiMS8T5/YGNOwGGEuSPL2g2fTNIoVXmPHYA6LuKnKZ+FWYiUC44M/IjDI/Gpe
IyXekdvkrUgI1ATGQ+EpNicb34e3MquOcBdm7FVFmu86VOlrjqi+WhvMyTQEoHzSHky3Mqzd4E3f
ySFEHATsu27xBO5yM/DXeemdrL5012Y6mqvSXWp3w3hNPCj9UBG3s8iUeaXdck8p1cvc8MFJPQR7
+oTyVVnqYg+rrh5az0qIvQziM020kAq4CNu5rFbeOFJyBLC77UGzTmmni0MogAcsNVJy3HTDvkmk
eM2lCd9tO7x12Aid6CBw6PpI2x1qj/5aIOq7zk21z6kKX9HBrqCZlUe2l7qdPGGuEkd5B7drk7Uo
R2p022YDgQGzx1bwTpk9FVtFRlSWRBLeGfW2Mep5b3oUuJVt+KXTlP51GlWLbMAOZnyN2dTfo615
SSlUqyNEUmIIb6gdoBG1/TyV8+2QRydZe09NF51ZcgGMilReURX2lrXxsxmGH3yr2jfsptdU77yE
IiVaDJEPfqPw1XRFv567JfoLgetTXdBhJGrrVVFKdSro8N4EiUURZic3mO922dAQMOAj+Ym9r1Qo
NdDzoNroHZkIECUNH2d7/qrG9EjVE5kSFKBNax3q+KMguWsmBTHIT8RzIAWiayutU3tv4qlp00+K
rFosSsm12z6JYBzI/WjDbdKnD74dJwd/CvHVtePwybC6YKsmclRw5XTXw9AZB0IDlseczE/XTv1P
Xu9U+EVbL9j0ydQd09YDHp2yZZyg3VPt68lkC00EgbOC9Juv5ega3S4p1QfItPCb8DDHnoymANBZ
5WGPg8oaseVcYW7v8avB4qq7wuqWz7PanPpvQOcJ4GLho2Lo+hB3fY67G1TTyZbesQINVU/02ipn
P3TA9eZT8zxInwhSo16ULyGgqddPjJyLa7AbrOhzEOcRcihkXiuOCsXgEnHQsRVhkNqgGWEsirnt
h03N8gLOtHAausZLQn8r5YoGHW5VDYmcpbO6aXnHPaNW1mfDQdtG2YoB19Z64iYzXCqJZagZOwaf
ZWlarCKVuUwnZqrG79lsTej6tHkt8KGhBevyU5JP0ee4NAC5Y8c3P5i9K7ee2zGJYLAWr3U9ee5Z
JoutjZAnGoITt+k/UiHP1qEwPCxppt0d2dvz0YZXoX+pGdBxX5Og45s+8xWlO1+8orQ2acf2b+Uk
zZ3bUb5jjtWxWhyQM6/8o5XjPkx7OzrZiQsoQGTgORh8MIKFqXk/3tg4xlbXXneMPBvOJi/GvfCd
8tP7XwmDkpYIj7EfG1m4x4AxHywbc2NfSmYw1VmgBKhobic67FGBioXrmSvvIcy5mKQIUk6WyHb3
DhQ3BfILSyHcGOgi3BQl6pBVmiYYIkK+YpngvvRmWZHb6vYf61RyAmnGJ7KOzITuDAqLWIHiYxD8
6lWOiTCaVHckAFjd5UhmdrORiAPdgLRoN1rLtRKcl1OChTcuY187ojxd08rW7tmqMdsPQ+F3mzGP
UOilM6gI4CWLwUD6cSQIiKxh5kkNjkRZcv+jXLwmDrZ5AfyjTznPQBSD+Srsut6i+ySUQDIEUiaE
oM71TubThHcMCdCNa07uFX1pMGSzC3gVzbgMl/vOSKt5N6KMZvtPCwdFC/N9InuPMUkhU+XV0ERv
BjY7QBHGrPtiWK5JMcCymfyR30rd1BTtnd4dlg4SvrNVmdUef9TfdiVfU1Q+k4uMhYkkblra5rN0
CPii3HT5wCLzHmIrNLZhgiWAfEPwfL+hWrDyxadS8E8IGMC3ubiyUO1ytUxPccOatq/PiOC4d2YE
2xtkBIJUedfJNrkk4Dftue8TlK7Xpg/OSkcFA79pWNHbbMJwjxl3k411cpNhM3wBSqzoXiQm/Ak1
j3kdmlN0GpOofokSoQgoTnh0jIRH2LEHuMlJRqeoMeuX3O/JfGmVAVdPkr0gFKCIzA8MB5xhRQLU
QEVKnLMDJppgH1ZYSJlbuo+SEnFkeaLITyin5vNIZeGHKZcEOC8PrNXnybdyLpuXNkg5tBr68VRI
HR0lkCv+NYTEL7PGsSxA5GTLvwu7NEesH7wOLs2YiZkyesjmayWCcB1C5qFe7aKTkPw6ktK5j63i
CYwGHYJYIPGWi+s4rj19toHAz005Rp87VABUVHuzeVVQ13VLrVx0cgubby6ZfNxNxXK4F5jIe5SZ
/MQuUPV6Igf12m1cIAUiXMd1HpDds5rCgbvEn8VrTPDdC1SkQXVu0vBM1x152Ai56A8QrI+hw5Wi
8sR4pMA7evMpECfsXC73YCfwrfpuEyFsRnjGPkDPB8NH/01/OWNf4CXj98BjTl4zYKhPfZ2qL2ok
2ZgGyYYSWN7tMTWyFekSVpPRZNSP1U0yyQGV3hR8a0YnektrRTiYmxR6FU+8mZyURlbt+prm94o7
YAzb6HPmuZiHexp6aKSuAbg3RZPW+i/4+X+FDn8UOiBv+gG4/kXocH5Jq+8/GvLgdZZ/8W9DHiG/
tuc6mNDgB7j/4A/+bcgj0TLg/UHOHCHyFBr+R+Pg+P9yXKIN8EUJXhmWQGrxt8bBQf7gLqHD0Mgh
hADyh/8fP55PaYbgc+CiCKfzLug9TaOGLfWiIIi2Oty6+hxktz9cjX9g2y55iwCOnTsQdc/CfKOk
+JnpgkJaNof48SmQXuUzCltN7oDHJf2PGfL/4SjLt/iBWu+iUCnU5PPBr770xpdafZfuHyQDfzqR
C8mAn9YOozuHGOZ7X9zrdNPOr78/iwu9xeK8xGjpeohYQnPJBf/5LDzSo6rRCLrD5ATtajQYalKM
y2XZ7t0ETPT3R/vlhN6PhrUEe7/rYQn9+Wi+cpUkX6g76DpmbwI9sEpLXD1F3BSb//5QqCyW5hqL
dLlLFZvovUbxMuPEkiB+VJmDnjobzbOQyNx/f6hLZnW5hiZoMNuTkMSQ8OIakuspdGFzqKqrhuu8
kPnB6zK9jtSMXydW5b4eY/3f3hscFJOpiX6QvH96dX6+lG4akW1N8dxB51xFGrVpg+oALyKErX84
v0v2ejk/y4K5XlQOnuNdKC1yal7nBq34odSJHa2KyMgORhtkx9wikY+Cqvau0Sa9uMWcnIdCqT8c
f7krfqSQ349PFAoscrAsTRd3jY6dJsEV0x+C0lBbr+IEvXZ6+v2PuJzE5UHQv5KszuAjoDx/vp7K
rKWWodUdpGzNvT8l0+LzsaObwhLzYdYWleu4FrZ1Rxbf7w/9T/ePTdUDCrNFkbgs5T+uJITlKjO2
bCybU66BXlx6gggN8de+ISgDYsR0VzqR0fb3h6VuZrlJfj5p0uocTtbipWCal3qzvjDozhzb7kB7
Rve1RvkxbdkLWKi8WXVcZKYfSAtn41QM7M57MexUb/MTAHbstRqnfdp03TNxAra5ZgefbTrp31tu
ObobxtDpOuxoKKZRXWxsqcadOUbRA66qJU+kHLJHvaDofuZnV703wqzV4IQBKtgg6KkNNcfDQL8N
oYOJYAgl/yo3/ORcNI2meHKoVxTO1GAJA5OAKPwrQY4o1LBfAXS4OjmL1vDYuhVkJAo4kcRwxysZ
lwM3qpLFhjDL4XoIy/kplfwxaRJrnfntV88qfWQGpb2ll3ikmmMmE9zqr53ckk+q0s49Dc7m3gCu
pni9y5hwBHVCg+ns+pw11FeNeQ4A97aZ7dAYDYTzwfYlH8Je8NqfMejUc0DZyKh78xzRGHvAjcZm
th6S+ygbp6+hpBNxRO0PzBNhj/BHMj+NdP4+VV70KWkQcW1KeMIndAmuTUWh+b3r1OJe6R35ZrTO
UmyUFfI5tNIgQYElnftxpCTCXy4wAq5zDUJH4IRcWlK16xH4F8nrwgPiXKUO/bGRW/nNmu+Xg9ZK
n2yxzMD84nyX5Cuj1JDDt2xWT85sfQ+r0P2sLISxzmCkn2ROyoXQcD6rLuFBqibn+zIM05UztfMh
a1kxMnh9BWIwS/TdfF6p+B6Z8vNTGbr9c7rc+oVq/asyGBI241O0td2O2FOyxu6nwsqOMU1Im7Br
uh15iWJfWxZmTV448TqMdIRJlHzp9VwE8cmFrzuAo3AAa/bWbZvJPSkVOXUq2fhAatHwIJuIv9yF
PTcGJYb3RUxymyii/ISihf5Aox62I6KR2yDkcmLANKNNCY2zISfBv5ETrSpHQjjKHc1d+MOQ95vR
eugYhAi6jOHlU/GQVUNOYdOUurdWQaV6EhNdbTpd9Br5LjGLyjKiG2sKoZfyBDZ75ZjUIVEh7Nzq
hN4vHWtvrVDqn3TTtdetseAahPccvbDx7iLDNvaE7tl3vlnG15PjPkdly2hEKiLRcu4oIF7BHo9t
R8LKMKhCrSlQiF4l4gMSWieyTWxjMPY1TPCbk+XBG8g2KTJYmK463wxfE8Ti23hoHaphkbVvjV6G
UEHhcj0imkY25qy+FdC02bofVYFjCJmC2Zv6UNK/fF3EsfMIbDBvIx3QFWkbrrmnVKXbu5MzfQqs
aCRk003uRdmKw5jS2rJxBsVE76cjHA0Ex1cz7+WpLYfyZiDv6aWz7epcDXF4Swyn/cj8D51MVKmB
VYWMkAkXwZ1NpsiOOMoAu2hXvejEne47rdWdyhJ5o/rWuzYVk3SP6fgqbwBgzNYd1zQBew8NAZEb
iS7swHAdjDjDLA7QmsviVViRvO9m4VNtLiLarSp81xukPzVpvpN4c1JPkrFFg85DSzXEN3f2+oM5
sgjlRtnvuTXQLVAmTedw0+9lTffTpm/SfsOGkphD4bRXxeSRRpnUbfI4M+zFK7K2+Ew3SrxNFtJs
gZpgPvFt40fLrOeTznV7BW2o14WLS3GdeZWg9rLMwmPAsLAjDdBDDBCHR7cPgUeAEbaNWFKFkxyz
FOE53BMQBCBcoZBbqkm741+AUtIGeke4nkFVzhARbyuKcD1GkuugajY4FgDJHX6J9nVqpWQZG/P7
onbguoheX0tWgS9pGs7bevT9A+2U43eqMOadheDs6h0umeq0wCWFvuqlz2vzlfBZtAYFY/tbT6bS
s8bicIteEKxrQVesynMfCLMFUFSoIYi19BcADDHze1zVGJAYQwERvzy/Y7Bx8IdCyi6HhPYHVAWA
Hdf0wDG228WCqeey/+gr2W8Ye/mrBCUY25SU2PM7kmf1sfUBQoip10nq5zEty70MycoCjIu2KSk4
vKtFuZ6wopE4tMz59fBC1rc8Br4XUG8/ZO4miHKxvN6J/NLdeBPCNwFUJWRQdWaYnr2cdFLTkHG4
gihXhxpaz8LYZtpHYjXHGLpjLE9ZbwID+LUnh4UeI2qsavjCgnT5Q5iCEpqqF5/eRRqps4Cy70pu
twkq9jMeuMXcDBw2BR89qZn2ObMDy8LGZTw2qYea01D89IFNMUrtg4AOhZ18eweD8gWoKjvPvYpM
HIdULaJgbmMSflr2m3sG0e5oN8Q+TCERxlXVAkG2HgFbThdCfwIq4soFOl5edn0I+WlQrXQ3LeFu
VN6F6zqEiU2Ak+/sTjsvZtkW26rhBicrkwQx7ug1+k25hTquvme8w49IPvrHPvfmZ26k+A7DaXwr
syF8qDIYXEyGgGBdU+2DzvY+SWZRuRpSK7oupoqt+DvoY0WGupMyn+9nQ4zfxyoynkpsooC3FARs
AsP7+3fKCeB/04IvqxybpDSnMW+AQo3HOMpZZOyFVMRwvjVclX6uBqy1YT2qnUFw9kd70M7HsTOc
j5nb6BveVN4uaRNjo9PUoMTQgT6Iovo8x0b3oaYlZWuR8LelZl0RK8ZVly6inLoPgltraRSuqpoX
X59duR3yibamMaUa5gnfuSl2iprbKx/6dFuFmTyWWtrbhs5rkGLh8BD7oT4NQGi3UbB0y5Himq/f
7+U5MOf70HDoxANquJrpeL3x+yrawmDGFMLiYVsB+eS3os3Kowep9CmMSF6WEapamn95GRLwyc8/
41XI+xqwsQX7jqfQLumXAc5zZ3NBJFE75VrdsCjoo9VE1a3fzTNxb8S2ASE2+lkg63NpTZyy7Tzo
Hrw9D4kAI3xvwJt8S9Mv8aU2uLczlNAH00zYOQbdLYEI6rb1e17dfkLIvd/WoJJqLv2crKouom7B
TMIt76bxiHGbgJ4II+p5kkVlkotQ1Y+USlY7HJeIClK44CvTseRtC2MA4+GNGCLAbjVxB6cW+dgO
pb+haYmvjMdeCMC1oBzZMTt2vypGCAARk8GC0qfJiPpeZNnBiEuQ3FQASNxlzwKWZVs2gNJ2mJqv
7zoop0Tb4kyTeMWbD3aKS9HGkrnIBRGMbFOE4RDcSP263PdP3uTobSB1R1+2BUpq6xGNXBl6+FKJ
ImClq0gXvBceTChBtAWwMR2T6tEx2liuQkDd64HAijWObOcus4mmpUa+jQ69mTl7fMPzkYxZbz+R
CbGc0a2fKIuaMTe5MefU6tdDWj5YKqc6MUCtMDd4Y5ntZbeyXW190ZUOyJWs2gd7tNHJ5qlxBVl+
NxDbv6J2OFlPmfE9aKk8Mp3qkz3Aghe01F1zGvmmwF/Khi7uu10QdNO2BoHdRxGUccW+5ArdX4cy
tBX+lh1iAkft0tac6DsLGJK6Q6/86lfGV+D+W0VL0s5SU7ns29ojEcDWyp/Tx4kQoP9h77yWI1ey
LPtFaIMWr6EjGNQqyRcYU0E7HNqBr58F3uqZm0E2w7Kf56HKrMTNSCj34+fsvfay9rUImx9h4S2J
d2jRiZFFwsMI3P+mCQwvBCbBMkyaKlz5QxSBVmbWqPst8hqHNNPck1wvuGkAd53p2qzYqANkeClF
HC0z8s7Jps0RdZcWMXvTlMavUdc7u4x0qWkxdqpfK38q7yWWmAn0NFrIRWHGkDFceSNEJr/BbxAA
G8cCALBkDk9e4b1noJBbkV+a7bt+nA7YTbMteevdTotJFFiVUWXf2H493aSRW9/LKMnWiH88Rv8K
n7c7ue5aeXUIzjCOt3kwpZu+yujG6XlyIF5gZLbWVt+DeioujECzGOnkTlCvhjKyBqbDncqyi0Z8
p7w3XhTH8Usj6GAiYAotb/sqJTLLLLvhJpywTrYjA6ZUi5tN66OGMgu4WIwtNeaydc1TXIFY/m7H
dkVyYDyN17bRprfCwdVPnmn94tbUVwtlxObV6AftC6kE3iEDRP4cjp4ezt5J60mfd0jXKEjbjP14
p4ToLuLEty/jommfAeg7O9VWwyF3ov5i0MbsR2unqIxig4dbdm1403uy+Fk0HmQB17DhoqUl9GzC
Dw4GgU/HuuUE7mIVYs7RC5uzbkPq1Ki19qMlPPgLoWMwwur7+KrUxl9Z7/nfzNIT6HkmH65qPm3Q
aabLtC9GshDiia0wLhBrdJoiL22sWcnSPN2lkqxECf2Ix8tuexg5VaAgtyYopf4qaiTRuknxoOWM
pCGEwEJIWxy4ur8SASPrzJDPkFatVeYy0kEw4lVQ66mMt2XgFg9lVpTHdsrNfV0j3qCeL5BGAeHO
pN9pO6sZNBJhbdPVfo0wJgEz184e4Kf/1GqVWHDu9LecYoYFCJTwkUFIe2RTzG8oFdM3ZVjlY1pl
1TfZSeVtpQasGuBClWQECcxZ5VlGSWNrrbi1LWMQy/fxRFa7Zg9JfEgPvdn9igaf8T2d3aMKfHFh
Udn+EJJM8jGcsYladjWVPREEDayGbYvacMlAuDxmvYSBCZW6vaIRGF1B5nQXqZ2nzZpIItJqIxdp
ap2ad3z/P1uhwzBlTwsWHXhthBLtdCBhvbvJ8FHhRc/jJ1U3FhsXmWlEN4a3jbTK77TBXu20GV4R
RN5PHVLOjcfIZaUxbdmm1cTKLjVryaeW3/uBR5Is0tD6ztHzpliGLgq+uNM3Uz8TV3jjgbuX9jYm
m+5oZi7zlazuiCQjnX2Xpmb0nekT+UKshAvH0kjUiJT3wFGH/QRx8mtYePpKRsGzrezhQpeGueVP
MfHLVO29ndg/vRzOZ09TC0Nb2G96GJMJ921MLwMARdseDC5sbvCw2N5VTX+Fm2KF3rPXx/ZDAt8C
PUXCB1sH8NgFNdUYu8HG0RygMbF5wxnkiQU5u1Zycg8V6tJFO7TuWuYifCuDbFrmzMRoE1rplatC
NDyOxikGYK/aEQJTwQ4exJ0gBoMKV6PfXLT71h+L2zDR3Buv0gnkhgh0ZcS99duIhFiW6SDXdZdE
h1DE3bVwVHzMncy5tyWqRkTMU6h1L6kgAyPOmm3BcrvuJSGaU6v02zDsCAIdMBSUsIpJ94Yl27Li
Lro5ZzQIen1b591D1E3hQsEMOFhROW7boX6NA+Ht0ihmx6IQPLCQarvCCvojpZwHFga9FqmfGfVv
KX53MG4TUEDyu4Xu/6Xx2w4BUITI/Hupp6l+YcguvPDhca3olgy8bI350JmaGpdagCX7KsnryFyW
oqrUwqpL6WwqQRt56cc1ypqxzh9EEQgUSGOwjZPZyEML6wEF9C+irDsY6ZQqdWXVBx0KledwanBy
s1hSVHFIqhATTQaT8yIJDNI3jJ2GJu3A9++AMnafiBNHPRWW0Y6qMF/R7vjRmMBXS30MUTixv47D
sOuU++ZxBCGV/OjU+i01lEvnjDaR1vnGD/gNw4VdOtbarSwaKZmoryNSXftAC3/HgLduiH80bxsV
/K6UrT1FfHqPAMPqeOU0ZcVovFbhqvENwlKFU26h4nRkqlRi5bYRlDL8CGc8Sh+7oCZTJ50NmhY3
JCVGX//uv1pN4JZeQv/Vq9L8YBT9o4viZBe5nG4Dj0b+133Xz4YgGIXx1gAF9PEa//lzUV3pBnog
fq5pnYfKrLacAMiSCD39zLjlg6lm7pwTKgXAkeEesUunnWWS7P9parvTDO55b9KPYfdTtTTptSY3
8Eugd3H9SX+Lw/lEOdCP+/pyP+veE6Dnwgu28KB+mB54VjvhBajR5Uf2rUPcxyXR59WZX/nspvII
5x62zuDz1F1r40np7IIZzPs4pE9njk0wqoVhp/LM8/vsgmyEA8DkaM1hUvzz+WWqE7BqBiZLQ0Xs
zFC+un75+vc37d+/cTLdSZzWJJWadwQR9eXk1lvbL8453uaH/2fzH6ocCEweDq8HAJA/ryMIUn+o
zbbeSTawS5Af5sEkoJX8uiH5FmuMWpAo6ddRTa+ViAZ9j4Hv3Gjn46dHSiKWKzSLesD55WS0Y0MR
s+BdVLvIqCGXEZy0HIysOuYgl/Zoi8Xqb+/reyoj5AnTwYt9+u1V1Fb+iOlnVwjFKuWOt2QfeWfW
k4/vosUM3cHFD0YDoezJBx5ERjvVWV7tEkAqhKGUyRJPwdEDV3fmVfzkl7gI3wG9aeBr8k5ek6BJ
kmkc/RKIho9qSWsurNF7kHX69PVt++QxgWMxwZaQPzxPjP58VVxZZGCNvHI3Jfq6zt80H05lJmbB
1RlQpPlx2DiTX/7fT50MGzmourNzA6tQH9C9E3a0KAavxR4b9Fiyeljdo8NgmmS+sF5VNi0+nUDe
F5e6dd1OZrtOGQFtzYazdFETb0n3GMGX46fy0FoKofkQT5dhTjFoV6QcvAsSKa7adW62aXvw+lxd
DWVHG2vEt7vkrA0WyE2mMxf6ztX58/NjlElzX+cDMPCunHx+eT5pVgD6BQte3D4HhdCvjN6/G103
eSumzjt0ec4QJUeJhNd9Ax2Kg5Ny9y6+oMRhPGNUEhx491iEVEetGyPzL+7k4F9OIafLosyqdYNI
fFElloe9LLXQYQ4lGq3e9A5aqnVLZZf2jgHXsGpbPHr8TrriHO8dMxstQ5qRsaJYr1cBue6TF6mV
zQITrP3IJOEmmBr9uzcLu/76XWNdgskE2tJn3z9518KiJ26zHrkvqdYceyOw9jx1tYvSGpG8Cq1h
9/UPfpz8WhYWZdvBwQPB43Tyiyeh7wdZlLvAbwn1AjG7riCgHl1LttvQj9pjTP/lgXC26B/0+P9o
yf7k82WsDZQV1yte09PPt47GXos7V+AeHMdvvTsYrxVN3weM6umvv75IprysRhx4+NfpDJ3hCEXn
2Ild0de0RjF01PRsOlSjqaj3bpMl/rJhykbks0nn7usf/+Q6qatgCQEO5yafWs+9LIKNUAqxa2YA
VjWIh2j2evvpWP91GWDPi9SM/IbH4JziQzgINhHG0Rmt5D+PoxhWpq86viLL+uvXlHIDwRTCKGQY
H/zikpDELuq7nOFiN6wml+6LlV4Pg0PuQub+/NsbaOsWF2aC52KUdLptRUkuhZ1XXJZTWDvsvKJk
kEBjt8mt7BzR4uNiz49R2lAaOEy1TrevigFx7HYFV6bZD7GlPWNP+5kq6wFB4JkaZP6W/1wD+Sn0
OS6Xxpr/7sb+l4aqsOJkFBrTWGyJa4uGSVA6+cLL+4lgPNw8xAWceUE+/0X4P8jY5o/udHuxpedj
SM52ldFDLZRv5Wg8WDXg0g42C1GY5vHvHx2FN55ykPb84skW7UBbwX3rZVCru8OY9ztAUdeJq5/5
mY9FKZB2HOuAjeChfKCm9b6ukoQ/etdr5mwIJ5dMKnbEry/m41LJrxgQ81iZdfeDSR+HjBJpamS7
2uJYy3EPTWn32xPubVq1TNX8aWmN5ZlV0pwJdKdvybxwoG8HSvaBdxAWEw6AGFVV4OBjH3Kwt7DC
iItQAaO6STDJakbiVhcY5rJ4SfKnpPete9tWVdGeCGc4tZRF0+hUdwhxoQtISXEwlwXVbEJAG+M+
BiaQBxyB/4mX+B/X+E8fDOAP3jgDz9Cp5I25ZJzT3sx3tKjEOh2D9KApmh1fP5iPKywPBl2lFxgk
UH0oOQu7YhuJynwnWg8+Z9nv9Mx48L1zHO9PryZwqW1Zh9wP8VOOl1tCVoKFSEmLaXYY75Wrq83X
V/PZCuRSAoBf4FDOvfuz3JzAFoH51jIUBDhaeo9tCgMgmvom/45e/++raM6MDjghHjSMpNMTKt53
l9BGPtExC3/O965O3NuiDp+/vqrPPp4595gsCoRsIFj+vCrVZMKYSj6ePHH8m2yEi2mEzk86ruWm
jhz/x5BD2EHF0pzZqj5b81DE2tTVSAY/HHron+ixZffZLiJ7FMwzDopoI9MnmU73fIhnfu2zV4Rj
j8nLzsnyg1oQGAI6MqzLOxlJgoxcx7sdTFyZX9/MD7wW+Ec6N9GDB2tYyJxP1tWgM1Xn0Hfb+d2g
PyWxXm40FMeLMLX6nAa9Nzymhl8uu7Ltr6tRZFdO7llbMu4J1cXExnQplSujwmOOP4OhbNel5063
c/zch5XL9zhh82XCMjstfOqw0R0Ypuw2yqZX2FZvRkvEGNKSZp94/nNH1tTSkzGdTGElT9nQN/sw
KF9jxrqTO7svh8Le00UKFu6oSYDfXMfXN/KTb43BFiWo51mwBU43xNzj75Aoyu1BTD/lZLQbXaKo
CnOG2OPb17/1ye0AfMmHTSIMStnTMsaEPqHDvKa0D42fOg2HVeHob82Yi50XiBSTltueqTA++egM
g7Y9FQ071ocSG8zjqOqo5PJS51ucRNA4GN3TzKynhYU787Gqh2rFSLbf/f21wigDMEllY3yAfNpa
gObIb8odZ7UrPH418tz8FllyhLM1ehp9JzpT2nz2JLm1tAHIWA9Yyv5cX/hWMIHaVbnT9KhaErXL
aFJY7e0A9GBXuBykv77CT/YcLpAaymJjo1g8+QKLsLbjpOTWqj5Cwm3XIJKrslpZyOL+Nz9FMIzl
uxSM4Lr+vDTp2UlbCI5oRlCKGzKVcWt6RAgknWGcWb4+e0eJJeL1tFlWPuiAe3QxYqIzsGuK7gGq
xy/HqR7yhueXRNWtj6n9rw9HLGCYLkxAZOjITz9AQ9FwN5tJ7CZzQujjDXd1V68kfYAzP/TJwoy2
WHfgG1GGmMH8PP9VbMsJt54ecgTMI+c5UmrrT9XDmVfC+rjg/fEbJ+9EoKUkJ9r8BqpeYw45lAcQ
Nc6d2blAZPKh4S7qWKOGWkIbS6PHcqiJsXUY2JBLl9H865BEQZ1flrZCBkMIGMAG3NCJ1ZLKZtvx
rRlExLaOOLRCqYtt0aDQ4HQ7LtHChfvY8VFr64DyHWOmGaXM8O6moEBxIQx4GmXR1FudzMqAA5SK
rsllpTosZ3M4sd/XsfLirVE34z7HMEoWXFxc9lrd7/wseEjKrFlyh7NNQa+oXsSohXYolIpFOUxy
TVSEg2KQaMTSthIoR2m3+fr2fvZusot7Bu8JgaOn6yfokwo6L+8mWsG3SrVvPpRg29I2hBVgqiWM
/Ovf++wLp+am2KN9jzLe/PONceJRVFY0ih3J3HPP6Qr2935oxZni9WPLbyaemhaNP3oEHzKEAI7E
Vq0CsUNJeitlUiMc8n9U2SOTqEum0svOMV+jWpw5Mlmf/y5dWu4oh+vTgiyQYLDk4NATKcfpW6x0
XEK1rd2idtfzNYNzzjiVU8AjyPpqlQuUQkAtWMgrs987SH2ddND2lt5pG6OFYB+iDuOFk1uMH4yx
gvS7Y5A3Pij0QCBpolXQQnFOem9aRUZ4b2b4+P3JqRY4H+0MVyH2vJS/D+gH+Qvht3GTvmdVKyx4
OLr474vJWcZNm6492AVPlUUowt8/cRcALZRb2gyWMd+yf60Rid44BTEEYgdAbGS6tBgHnejJtj/z
Zn22Fv3rd04Lo172RV6Cvdr5zhyMTL9hWcTx+uuL+WxDdKH1MVdg3gaV9M+L0StTlhXYph1DJ385
zpZFnRj5jEyHuBnPmM4+/TH6lZxZYIh/KHvdmsVI5HwrWuwWnESnLbSfDTIwBJVtcub2fbYQuLT9
2S2w7H0ofvNxtNwUKQXZsfUtQDR3CSnluczrX22CeSt2z9zJj8jyOZuNUxIHWLxUH4Lgpkbm3F/q
tFTl0EQm0zj4Uz3sTXrxq9LSQGnLCse3DKy7RA/j3RihbI7KRFz6kU9OammPjx6+ADTaYQSy6usn
/dlCxXO2aCPRvw1OF8ZBhY2WxZQ5QyV/WUH0FJv9fW4xTP5f/I7nc1Lk+Dv7Zv58o5peG2OJKGfH
SVTSzWnfxKgNq7Krz2ykn5WtM9qWFsv8b97Jd2gNATJuBFi7FuF43KBzG8RtXTrkvhvXeVk9FHlw
ps3y2Qv8r588BTCmk50j1NGLnTaobdSVvwI7R+HqHuqyP3Pm+JBizeENRKE7Y2zBbdNL+vM+toNv
y0l5BcuMOb62sfwNE5Ccq9zwl7Rvo+XMB1gWrMjrpJoFx5oxy7NqlD+gjZ5tmirPYQXVqjORLWNt
wWwQt/V9NAXgf0WeL4uw8TfKG/wn32HVBGjVoJrQGrWasrm1WZq/9YGIYw8egpL6a1p2ZOE4ct1S
8iV+T7TTaCXrjmSQe2D4Dpu96Zx5mz77ioPZqUuLg/f2dACb57JpBCLl3SSn/dROxqLV7WfM4xf0
TJ/bZDxH9v/sEc/2DByDHs3W09suUyMaK4qhXVLBHOhlR4rYO53AioDrLJpZmPr1B/PJJbKvz25j
OOxU7idnksAdfZAjVr6bA2LWcT26lyKmQhvTsnlO4TTv0CF9//o33/UaJ/1CtDcmN5VPlKPtydsV
aWPOZDYvdm4xBct46Nx7Ozb6pbBIg47LPH+CwQb7wEay9a5T9mPwD0VHyGyLlmirDeD8zjxr45Mm
JqoEuj7zqu19OPtGyplk2PNFN1OIns2K7A2qNGvThHWzhblsLXhTkE85YBCjOl6OzGSQX9vnUMQf
s09IecYXjhwDZjaDtpM1TEca4RZESuNbTsGovIubEwv0BQJL4VzwuLx9myJJxGcBpSyniWxoBXNU
eCL9zWAN+mYcQ3AT73z5dtK/URaLLRnB77aJbIOyx9miy/01oshkye7XtpvGawSD9qrWRLuL3cpb
q7jzVn50QbCbdZ9ZQl3z2eJEGfkQnmO/Cw657r3oQMHOHMw/2SvYMsHnMgCg9jttHNFuS/OG8JKd
l2fqHkwpgjRXJc+JQTTO12/iZz+F+hKtAW50to2TAoShEzzyeVsCQhqvZOXPlh5FyHkQ59Hz17/1
/txO3/q5+2txemUbPD3+C83NyctJOBz0wHgWLQNjHB+TbWxJou5hrObGhVHq4U2rzOHKNLXo1my1
YGlbudxKAc7l/S/0//ENZ/ANJi0slsH/ixL4BN8AvutN/Pw3weE//9B/CA6eM2dRzINhneMkzQEW
8v8mOAT/RfWB7ojR3Nzn55X775SK4L+Y8PJmB/Zcuv+b4GB572HLhkez1fbYDa2/ITic7iLkXLi0
yQm90JHRfDDxCx1XbhFngA8iw5kgmNviyDx3fCwMhU8ics5hEObP5N9vNj/owWJmx+Jv/rGjDPYx
brXJHXdKUe7qWo/Bxx2S7b8ews0/f96XjHYuaY6coMJlafywObZM6sgZjdVubLE8DKaqbrOyJgrC
s+Va14Z8YTS0uOwq1e6awVOPX/88GRAfLpM2pYkVyfZNnnFwsjCDjIZ2M3rtrszdXME/JaU992L8
kAgljsqM64NCqttsEUNDMZVAMmcIZUKl1DBlvYfjSVZjCW2PQ3NM5lRk4EvwpyHbjGbG/xcLCHla
Vq6RN6UkDkHshA2MG3S34286C9mdlfqAXPEk7GIbI2TouRXETaf6hqVw3M70Z+LFImOk41Gxti1o
uE47vVLGA5o8eVVDMHzA74ytysIwPriNfPOLIiEvsezH33HDFZF42z/lnRi3TaoEOY74lrHn+ESi
laY4xgTBvjIVli+EjfAPDoowrQZcz5qKPLwLeqDEq76RernnVhG5FZHpYSxDFl9ra8LeBsbjNRjY
8ag8jCXBd54q42sHeTZtmQCRGVYSRPZeUt+WeW9FjJdQaqetBw+PHOrLyVIJjYhiWJHLUR+yzqxu
wW2FByQ5autWRr6vkBmtDavtn1I4ek9VOrn3PB1zjSIGhLUJr7dzVfVjLEkSiTwqj2QQ4yMO/vKl
0yeeTMV6u3Nnj703wCWyWhEcXUNLdlUVj78HTDKPes0/Mup18+yi0j6GioA9jDvGQwdj9DltB3FU
JblFRUGFtQrSyk4XdoGEf+F2kw6LIZfrRhLkOIjeXENEze6kS6xeB+UaL3RZ/7BD/mOUIRBcRpij
ox3sUBTndlf9UA2fM/HV49ZNunxf+jzc0ZPDSnUpgLfGgnSx1l1yRSTONDoX8H892KNbzQizuwgJ
H6zVuLoiNMMBaRz1vzJ9BCqO247ema6zaBjla6Kq/olxx3QZVD1/lBWPW1mwdxmKKw4GTV6F2fyx
a5VzrUV6j6STa3HtNFi0QVwsezwFxaKPRf+LcINxOyamfR3ZPIkQ8djCFkRlFtD/CGeFLvp7yKCH
eTkBxwoBNqxdBQEMf0UY3rl6WP1g+DxdiiEeH0020i1gXJxIdZVtQKm2P0lRJc4QHtKKpBxQcxr3
tol4jilp0XAbeUVzAZJurLn6CbNDBNuRJ2G7CMltg/e/Rp7ykkdeeMib7GXQmg4OfF1cR/5vuInQ
sxKNAFMOyIW5jxvnFcdx9c1Euf4Umbyb+C5I4DXn6D3bzl/t0OtBv3qSKAWHl3ImWqmYB4Wrst2E
lU1YHXzn66AdnOuOVLkHkTTypXPc8hXnCm+rh0e2NsPy1UJOfpFiyr5X/sxv1lKwWb4YyrcIshQy
P2vUkGUH2er94nwyyPZN2Wh3apSiXakknS7p0jbPkmP43Vi2BkhrjhQgew2spnlaLN1BT3ZtaXqY
EUNFrJhKyHbIXZ3HVGQdGZCxX30zEtx+2IY9xOOmVV21Lu5OkwDLwMjcl57Y5/ZHUnf2S4ItI4t2
vTUJG5nlpIk1QruhuxyrIXQOQ2R19h3GTCx6thofDR8cXel2sVgYjkI2WE3uhvfQgXhJUx54tGpZ
mjpx1ZVgnrEHBQdby25avdFuSz2/05zuyi5kscFA4txOMO8Wjge6t3YiEMDhFbxLqOH0+HbENsf7
wsweGwaX625mWHf2+D3xAcoTFPkzi81ir4noBwkT8T6emAcJo5PHsuiHde70CjJu1P40MJ2to6S5
wLkUblAbG1h2s2BljDVwBM+JEDGQjmZP8NNB4vbjssZL6Kb+gVTYapXklZgWMgirPbobVMqaAmeq
A4kpkoyeZJHnvyM5gR6nhwh6ubHHZWCLu1F4ydostOAixcJ/SYt+wLbCB4vv07hIRnTqXeBH5KXw
IE2j1/c6BOZd4eEulK3lr8tBM5fQY/ksxcw50BEqmlqhXwxOEuy6yLi3ijDY0FxpjkTiWvna5N7/
aOQwuEuHYynKxYlnyMGj7Xf4+QjSMAZ4+yE4TbJHlyQrd2g4A4MuaeBiEgzdajWGzQ+rHLpt5ETs
eWzg/gY7Wb+ITYSdqXCrO8azBr62rNmg2ooVQzgNbJyvXn0SWRaDlakLoWZ/QZ5lL1gVSm/pKnfc
wnoHE8pE21+RHYG6pLctKkSLWZBhQp3tHMvb02c09dXIIoIjOpNms5B8V5d23sgLsPiY303d3KOZ
aFZWHPNVNWu4eNVC0HBZAAN2DtKt1eM0WOmyng3MDKF2Q76yeq2E4+tObzLXHbptxfQgU1niyW2C
nZqcYF904XiTZNa06sOuOmSFtJeumWP5cLN+kQ9Rtm5sy771GlrMJTHM3SKqsUPq0t9UWs+MZU4c
GByLFM7ASr95LqmOvj4OGzscsWYFvbapQBkglC1uc0NjL4cQs08SCyYxyslVpEXBE6gNY5snvPGu
VcZ7v1fhOhhC+7Kk8wf7etDuyIrwr4xqGg9zxldOyEEA7KBy6+KXHVVX2A+8Y6DQvS/tYYDYm6Mb
Q6QTZ5eymYy9ZNpSLZPYrS/yKbReutQb7YXnDMhzzSFvLuIRKPsyNVL9l8ROlK9sdElqpad6v5+q
KljKQqu3nZE7L0PeJeQdEK18tNuo+VFYqUuCQGP3TOAMYUTOC4YgHXRU1uCjI8+P+FRCGzde7PTf
y9Qol20+zHWBrG7x3eQrxPqiXGPSTy40Net2sSemHq9fEe/Rz9fHoGpKG4UtjcPFUDoJLkU/bJYp
1ufr0QyT3RQL+d2UoA1BxI/Z/Gzg9s0lUppa7ENzyETqNOJIxrfD4izbnz4MeMmsZM5G17OGDQf1
7/ibczS0yFEL7yRTB74B0jOOXqjLcBU5My0wTgoY29K5nvCg32mllFwu8b+bLksyfIZMgpYFRV68
sl0lvyvZMd2KEVvg/GV3RhZdHf4pvqrEJD3aGJufEooPKdNOzPUZxdxNUuNorilD3XuVVZRlc8GI
u723s1Uam/mexr045ti/d7beECVSDizGdUoIayGhXq9ip2FzD4pSuxNR0D0lphVdRwWVhnBceRVN
73+LoPpmaTPbIKyqeVEml+J3C0CITASP8iSoKuOGZVD8tKTLKVgjjohdm4gWN2IhWhQ1f53ZeL6N
Da17ihOYlAuj0nwBIrket1Hhjhd6TwxI3PXDKppNYSXF1gs6U5J4x7n8xT304rUqh0nAJdDYQXhV
qPE3RoNkq6awJNUkCeDVDmAtRifUyTqQVg49K6jOqB1orH04RKDv8We9IYiJeWj3Z2fVIUhd5iPm
FIXzbjl6iUzXVRGMm5LUh5VMUMQGseX9Jryo30EsiTaaYb4hjn8GjGAx5GOb0pwhWnUooi/72rRf
eomrOZms7ELXC+vVRGOnsPBI0V9gIPYh1xrZiux2ABtwX7cFj3AXBZBudBKc17UqqBNyIurZuKH+
Kmu8QDcwkCiIbracn6wJOeiuj2r3XgM0SUZNpEM0E7atLayGdxskGfXGUJJi1/HiACalVuKQQj0Y
ZfyfJqIUxaIGBoLBcK6RlJiqW4FelmeJx3FlA0f5FoC1Xdh6QjMQhO7aVKG8ypA2HNMOGnFPag2e
xLh/isjEQt3umPlrbRG5c2jzyeuPVThE3KSEPAVNNa1aO1EW68tOWmGOedZKO/ziUJW0xl5xQcJ8
KkNoOU1l4dP23CmP9hlbySqc5v8ipJAKVzouN3cZJgjtevRIvnnBZKnBumkpySpILVXrcSpA/cdc
cSSCcq14+QHQKEooT8Ee0UaKK44xOm4yCsDGt5tnHd/3EoOvs2wcMlOWRQCZVuE4xkVoy+9j2mWb
OmmTbdezq+nZMO1gMVHIxcLtntokf/Vq6nbyYOSLP+RWsqrHOaZivnfB7CM9TBM3n49du8NUa+0N
PtjbzOqTbYiOTix9p833LSEFb4rQljd7NNiTzdw0F0LxPK3Wr284AfjHsdJxzg8cttxcNM+CUJln
hZV4r6u2fG3nmpoo8HwZE08xLO0pV8C586HbGFNU7MFgUC0Kb46PTbzbwqq7J90gCQiUbfnmNDWY
YJvKVhqcWla1mPjy2tJons2Ug3xV5fIKyjU+2NBW5VsbCn9l+S0VaWjbuBlLZ+IbaUgGINva4H9s
9an6UQrFXSkmsneoyhdOYk875pfVoZIV3RCSwqE5BfPSFRfQdJzR4+BdmNU3JKg+yfccbyE1BcfI
kPUhGT1xdCNuHLOecSt00yGXXPRPjKA4Vg3k7/rzyZsJkbwqMs7lXsLxhGHQ9NvnK53WiT/Jl8wt
bnrlye9guznm6E5EsKcNS2CImQzSDl4KbS5Y5r+1sucIFB/hTr0smbccR2sgsHH+VBUnWTaSbFgB
/ZevTqXgvdVFipeaWcm66xNOpPOhIVE6B6dY2dWtLmqeTJmyBbyvgVJEAkRgZI4XGWoeshPqgfO0
hT+YhhZXl3vjxRRB11E9XY331xBMIwt4JEA/qU4bL+2Ik6bVjNXt+0lbWLw+eIDIjgfhQawOpw+o
HQm5vWxkOfOlYxe6DMbnY5kWadwG5LDekkYPt35uoEwJCKNMchAf4vh37RMRM/G5iaUaIzaBYWan
+RFdA12q7K6SSE9gemfBzLpyUBDCqqk68B6ARXjE0aDnpClxRcxLTQ7PE58gw2xaHyHxXBypdbJ6
Ovj5QcorCEXIGNYCWNcSFCT8rwx+ERuNXtNwYJhFr51ODPSU6ttk2TQonHaofsCqJNFKb8dHAXdg
EZp1vtfmQy1OIpY1TlIAxecT8kyWX/gNLK2lmBL+pMLkkF1NLHGWwc+/n5s9cEGXKqNnJsrYJg9I
+6Xr01ymeBqPLy/YpKoGYcs/ryZJFBtpcyQXpRHe6UYujrI0sxXWAP/ot031rTToXUCNp5eBbFIc
B6T8171NhQuUuWVx18zmJ16h8pWgZH9V61VwHDzW2XKIuYWxQ7KfDsQNT3XWGfiUCo7QLmVRC5qa
3PTipqrnZRjDSEPcXE4nKEg8ao2s5h8P2mq8SJAxPMRzt3Go0nkXoDB+NXxeCXvqmp9dBb86NsLo
2iO3bWPU8/sDOQIUBP2f3OVywrnr8F5W+AGdKVAb2V0x9JzeSfNZuchwHt73BqOl9db5UXztseRz
3qd51WuOfe1FmsNWMQT+sQq4w9WYmQ9DDaY5KIBMuaT07W2OIcvYTY0H6QKHSToeZEBjbj/mujgC
+RNHx6R4KOZnEFMvvTSIzeSmnkqKosFgNSNu5WkcKE9kRl9EL3PzgQQ8FlvWsW+ggeQL1gXo5gx2
lu+tmL6lWeTD1zlEIh6AfNPIaFhN5JLyMtvMeYGbqlRwZVuKzIIPG1O/RfepzPkoRr0vX3NTozE4
0KuzkpASraVgsaBurkyaems2e16e92VWedwNTuzEo5V29MxpaiRyxyzmOo6kuIOqLXVTc1h+lB7V
kjYNHBX7pudm6ixvcc93lJHk8qy7vaS2tnjXND28UwN9CjNXRbIXtlMdBpnTvJmXSowy5rrOrOwa
jCLkRTdx/g97Z7ZbN5Kl61fpF2CCwZnAwbkg9zxptizdELYskwyOwZl8+v7ozEJXZqGqTgN9c4DO
OyFtWdqbO2KtfwRtIFzNVD73Q8KqymeyARVEDL+WwwgcHsrtP9218qvjR6eYKuODm/oMf4Su19/J
6mHkUO2SH2XJhyyt0+SOhLX3YbB51eiFNI+Gl/BRGTJegy7XmUKHUX1lKpEWGQJkpAdENfjMLb2d
3ohj55Ad6WL4UlWRGfrzMG+Gnjd89vAtZAZQ5q8vf30w50JyxWhUJX3YI3dqzaVyLJduuicWcN4V
iUxphaj4QKeWOsWuzSEDxxPfYWaB2l7sdLnWzsIkPLozCZ3Zz95aKoeCChaHXwCdSwOPRcTg47hO
AfOkGIXp9ur3LHD8xiM9hxJjv2e9UbeRkJgAAt6xyG57m5TyIKPK5NRF3b/Tl4m/yhxWHQUWKkxw
WCAJhl6phr+TG/WVWRUkkXcHKwUcDnGp23eu0xlUqpNRNlscbYnP8N3F+nTvxjjzZGsTSMNwEEcl
u0tpqlNrDvO5HGv1te8t6470wOmFI2H5N2TeP9DK6w+72vWRhSLg/4fEXQi+zB00sz1o6VpU1tKz
MNfsYrqQyZ3Ws5iAVjCIioGliFA5RiugjLUrq/oma6DVX2/2v2YNflH2f+ZGTKRzFhIg5EBUZ/9l
3o+JlzD8NG4PRWHSF4Ssdc1O6NVlGbVh3zR9smF7X7YzXCSDTg/IJmveXTdZNzlMAY9y5KHCdctp
ENnVjzrN3QfPiQnF6AjsjLSmUoHq7H8r4P/HTUUQ/72++y4S4n+wrDQGRUNxrHWHWDPUKUJtsiL3
TI9KqoYEwZWJMJW3GTgT39uZW6QcS/bCvrP/4F7+l6r8d1QldkJYpn9BVaZl+dlW3bc/cZW//60/
uEoPQtJbP8DYZ01MJn/HVfrub4bpwV56yO9RkTr8W3+QlZb/G0wejy7Z1dgObJfn9r/i5tcYbfix
NYzZ5zv/d8hK5PYrb/Z3HxFyBeAOMUWtwrDVQvkXOYjJIFcgz9TPpa5VieqZiB1tw0QfgRyLqd5m
JNJXwWwO5MnSZSEAn8EyCVTJmd2LJS0D2IP2yiFv+RU4hlxepyW3LPqLsF9uxlZ8Z3eLX4qJqZOe
bPt1YIG4Ard29wuyiGiXVhK5f4W1+hqP/M9wcCa/3msywUrXyfJMNsByKCbCZ5vO/K6NYG9nHU4B
dNwxussgAWdfzCzq3UtLxh57Z+6MPVNqYa5RvPhoaf6bSBmq9IADc7fMQCpL1s4bs9HNMHHN/g0H
xAjw2cPiXTMzZY5SDQrmXcZ7+wRaXzihaVBsigglSl9EMhMwlbBphE0qB+cI68yMz2nw5Fi9cWzd
LtkbkyT11Z+35LSuLKRKsWsNhrGXRvo8c0XfO9KN5IE/Yl5BxKIC0oVBo8OX0AQNPafbTmjfJgpC
wRxlMbLTuVq4AAxvcYH7Uzhw626WxFX2drG09lHouX0dfHvaiq53xbH3fVWdu8WPviyF5z7Va/ln
082Gd2yiztQ2sq3tfG0sblVI6Jn8OnAHIiw3KPVCGMxrUA+BIgXo5PhVTrWVy2vZF+RnMelEEGnz
PJ7Zq2Iv1OI62bqpszyqMrZSfR8RLXrIBCh01yDWMroRYRNdPBRyzHRIWpGSO2+OooNFa+bXejHZ
CpdWW5793M2toItHNz1YtHPmX9IGa8ELdAuygG1fMklrW4J1/LbdG72c9fbIqFsSZiBzOxXfqGtr
Yt45UvNshMrborVCg8XlRlbmuJ30iOQ5vxTHdFjIvIocCmZo3suyapRhaoOuWpUqGEv9DgEQV1Ww
phGQD2UbkBDkRYFUwgOVmvucTaCwtnGM++Zqr5l+y7jQrFutrZUKZTbRcxMJ4W5W7kona180LXmY
UHoHDf/MLl4mcqaH+U3oI9GybhrtomF+0onmIowYxS8onryoQtOPtW1luy5SxslHJBRkrWi3rYZW
t6BKl7jHvNqNXgW+ms/LUVd8NA0nN14ISn0vO5pTlYjdgFxfLbQIYdpRYNp1J4QS8tim4/emavJT
Q7j1WTluT1lpQZAFaBVJq2Fr1T31cTWvjwZ1UmhlGCvN12ivlAnBj8mnzXAF3AJhEFU1+m+dHcRq
gJvRggCo9XN8IY8KfTHE9Z7R46lLNeJVq3RtVrWj0GqkuOenl2dpzxqFvVNXH4n27z+ZamdqzExe
HD5sBwIiaTetzbXECCGAUsdytJ+UmT8STX1ZRLT3m15fs6yfU4dcN731T248PrY+Y/JCIRXI/TYG
eSbyLAm9wXppldp783SVUECgWv20a+q82w7Rgrgrsr44Jlp1Ar7ajSjyz9xiLTXKkZBhAgWfUg39
rhIi9DvGdKYADsHUu1o12ZayIEMIFFIEaKKtBwJty20xNWXo+sPIs1UjJ+T9cPb05tFGmfj9wWvy
j8VFlgRb4p8IpiTkoqFRgFAHeUv8TjKCIpTiUyEe4kQ9DAS4UR69ISOxvE3UlX3L19Ms6yO3DjzZ
aue6NqzH1FDOqaq7JOQNa3Y1KuQ3VyVfSX2HATGmn0lXUCTstoSxpConKnB1i2iRf+rn1Ny2HOsP
HdGG1IM5/jGT7mPkNA/j0Ok7jgmKL6U2uiFhs90r50q/MQY3GoLa7ORNGj1NXl3W7XXeqJ1eqf5m
x3byaE6Tf20m/XFptI60XgIcY+qEpd/fzVOxI9+L+GRJozzNXY9UTnG6JOt8pssdcL/Jj0fHc2Kl
QJQJt4MiiSMTBDfI7jkvM2dnFEv0NGbjtdZUE06kJr64mnyxAV6DXBu+tYv/1YnhnOB71xbWGt49
h/Uyxh3r5bFy5N43JCVCCAduhojVfvSaj5LQuS1NZu0BYe5zjW2dBzgDQS2SfDjbatRviTAfe7++
5G3yxcmIrTSYLnXk3QEn7dbR/HcqR9vQtOwwW8/SWvPuvdbct6mcHifeOmKJB/xpHKPeexbF4mtO
dNWmMV0+ahrtyIY7XN152JJJeSI0o9vZgzLODdRmoIaaaGsUA0mYzbm3z6d+OSZVd+hq8gPTKNuz
maVh7GOVTOGtuMzycIl8N/BGYC9yR3vrg/zTbgVQNO82U8v7kBQreOA26gorRMntOJCMLe3kO/55
KxyN/jKlijthzF+ENRxKeD1/WLhYpe9vjaZ7Isf/plK3+BimkgyR+SuN9fl24PehHq/KQsS46XmY
gUmbQuwsBm8jBLZYbhNQDrhvRA1jvyTibKd2vJs1cw7aPjbfaNqtqV8QJIBqTUdKnZdxMg2FWd7H
2tDC5jXAe6AxYY2+hEoVUmaFEPWu7Ov+YoDDhalh1Ae/16FHTO0l0cb1egbcrxw/0Dz7NurYSLQy
L+/0uB6mjTXnFvTfvMj+sZSad/TbbDlNg/liTXr9HSMUgalRQZj9jtRt4AwzFzjjLKsCKeWeNbZD
538U2nAvEjcNqYjvHlu7vB9LTQtVRs7fTHRfhtpyLY/akSRXnaDiX70WrfmUkvCtiW4r+PWoI8vV
O8erdRjFHH2Ti2i2I5r4Ixk+xlZWQ7J3WP0DjxzUsMgsftl2eFuLebe0fmlX8gWzLzXiB6rWWu+n
g1l401PcGtiJmX+rPHd+ckcaQ7PeezMzuw7R0bhfgCjSjRY5emi4iXwGzNSDadRXhS4KWNOcqs1k
rR8i3jAZQIECpHiAU9Lnx4ubttgW8kfdZN9nXXMffb8cXs12IAe0T26ABjYt4FzZrqwFYHyKgTJc
6sYKar3Jz+2yVIBLPb2PbRlfhZEfuizKQkgRFvHerx6pA1RQHF7SP6A38A6L66hXbfEPxDxOz0OL
ppg0cYK2fbjNC2qbHyrzPjid851io91QStC/pFKcndL097XfzBta49NtVDtcECjwN2i1QatoKqEd
tZLGrQQWCslIUBcpWiJqu3a+FBb1zmMlJphE9UEjvQhpFEjh2epBPHFAttPW7E0y3Z1uTGg+LeN2
ZxVWxuXVauWboiDqDAJs76i1Tb/oY2POoN65RySdNZtku5vie5nbzndyXuHTlzUWPUooohQ5A0PP
a24QAQHuAc1nFcPJ7RcNYE3flKZxF7GomHxuywYFGtzBpmDyCBOkdXGCK0CAiZ+bfnR3WTHET8Tb
do24MmiFBbB74y9Hxxh/VJHj7BXoyqboaiQPIGvHiMLKYJlsP+CS3POunWxpEaRMQ90mryoJst6/
D53VhQbBOqQCRybhq1UUNJFa25grNHW/2qhruuk8kR/MjnSTpJHDqaR2JWrMm0yk+ZJaxL3lteOd
06SozrIDsckovZ6XZJcPBIoiw7b2uvje5wkDkwQ2lEX0QvVlEeQUX0eaZW7AoTFY2k3gEYV3apy5
3LoK20PJc1fAQgeIlkVYaWUdptZA7eWkOE4A0gjwGyCt0EEsWfI++sQgMeDv6FbRyJauX6YKnpv0
HeqN0+JMLta8wWZfbFhVJI+HxhYfuzV3Yl4dq8p69DGw7+FaP/Kyf6nqGSGXQzFFwZ5idDZo1VhC
i9fdprZmAkhru7lqDVUxzaIZX5C9ECuaF8XL1JGhSlYlV91MQqEUhAybFSFkROgDRMqKEFiaXApV
TzuESdRuVlH6I2vEhoIHAt4RSW6n3AlmHbemM3nRiyvyi0p669ZYfhf2qvzJ8AsUmbRbIZcqTLTM
4C0d7iaQKVwSffHSWJJsT6uPd8oq/a2FtYyh26OcR5P5FXHZapfLih36XXVzvOi73jaY/gjt2lOu
OT2o2dV2fuuIcM5dph5R+3d6LW/lNPc3dF1hURGDvLRNRlOvPt+oiz5pZHAQBVCZCE+GIXB9d7x4
pvujYt9AjfFmeMu3uHb2rmj7C2vuzIuR7cZ8OUZeNmwXTdvnyU/NU4RNOK1+Ea2sDypr7kkFQ/CS
cDwmyguBgPVdXbPeDkZj7tE27o3KFoEp5RlMjAtU6ic9817AA3EqpMu3ye0/oj6mTTXj+anMh767
ulX0Ug0LUftTGb9rGoRkD9IN5LqEseleFt/76tXVpvH9ap9xOQbIuxD5AWST9alTBm/VDxINQ6i1
Ug+7nuh0Olli/ZZFdAfDzN6jPRi8IKOanCtBRvy63AQq0LU62WFYbI8NT/D73CSfJqITEm3HOUhM
o6WD0UJRBPNQvOWVxC+bpqIgE8LAjDZVZs6AVzXuBh1n+TB2Bg2+2qTICXCyvUy1uAlrAzI2rLKu
fjNGkaIhHGyWnFq9jL2XHwe44yNTdXb0CaDfW35p7Wpat8+j3js7isGe5wZ1CW6mO9/r5X2ZauKn
nbb9eUlS54RkqjkY+bw2YkbzjlqU5tkqZ9xMjfGNHV5eaQJlwY/1u2WJBxD0Kr6Yk2uGPSLxK+5W
tDQLpm6zguenUJcqEhSZu853oV8grSOzLPcDDdibeEL5VBD7S7B5twbIIu4rTYIeLfJ8nFqaWyPJ
oztHdA4eifk7yjUfVskFfc95xRhq6V3BCtjI+YhJGiv+ONxEUTFWtInLXey/o+imq85zzY0skoH2
VLtkDGqWzZjx7Vt/pB+HJYtgYB7XAqmRAcuNLyGskHjvEhR3R+bGo1uUMszzYtitHostpzkh14Vd
bnNIfon3mWXKe+ylZu1ZhUFczEm+DZlPZHFk6dmVq5pbaGRbuM2tf8YC5gU1BvWNQesOhQJFqA2s
H5Uw1Nmdqb924jw9tBkJ301Dcj8grn7uMtWd2sr8qRbkhT4tx+tuYSzpTXC6bynlKe5lw9tYZRCl
foY0OM/HUBs1ETjU6G4y5Wnn0ZL3qUFdSVYV19hxv1Se3+6ZrxWmSR7/dpp2pdD3pBPSptnZ7DLY
r1dFDt/K6w2aervPpaofnKq7zjV9CA3V9guSDVCGNSLeLMMCVigYO+peI3gn2KZQTyZOZVuPDgnm
0C2koM3QMp9GPqlhv6p09L7jjLRFg55w+D648jsYNokj6h4Gfjqm7WxsWCHPHNFf8C+VCN6mLasW
T7Kgpqkb2pFw8lS/EYNm7L1pBEZZuHQhjI5NLR5nqR092W+XwclCxDilz6KzlK/K0oBNxnH0dkYu
njk7Hw1KjviNaGLNfhUseGMYN6yDnabjY4FoBBHYiCgdTwloMhna5feyq/wHGWu8kZ69VxAuG2cy
lxdPWPfEQCFNrYUBlazvCHaip5mkcrxXFWC2Aw+NhN6Vz0WUfHpC3drFOGee880UBk1O3zpBl3vn
/WxWPkv30nlLeg/tRoW/UbIMhazlZlHDz7ojtiDXsvdEaclWWcaa+KmFmUG2fL54YCWL9ONNWYIF
JGJhbJERbkN53yQc0GHbN84U1thB7uDhjJPGTE/jbUya1TiwlA9qbvhD3OT1kCGH0mu1LdupbDZJ
58IwOecaYSbsVUgpW8EgluX9DhQnJjytJ3R9Ea7ihp5Vf8GTTI4sGko/wBxG83iuonuPU60LqlY0
Nu1CNJN4FFgtTvesWU7R7gqvhYFqtGxsQlMkQG0OO8LM8WH06U5avlCIOniN7KgGc4C91y89Tqjv
bUafV4e8329BLIJfIPT/NF6//6xu34rP9v+s3/iD4YJzLun+75+/bH//Ov6sVqPOn77Yll3azQ/9
ZzM/frYUf/yt9nT9k/+v//M/Pn99l3+DxJtg6uDS/xyJf6KHIPmP8FtDy335Jzj+j7/6N+uQ9xu6
Yt0lnYvqU8fAH/SHc8gzf0PjapOOTE7s7//nb84h+zdDB58ntcl0UIP8HRhvGjiRcN4AAf+y0WNh
+9uLcP87xs7r90+z0Gz/L1j8muGGqNoinIafA4D/L1g8FTzEgSN6JDPGRRXhJ5k5hnw2CDMvVb1z
SqRTYRlL78FPTbSLRlrCplJWtRnyxOMmM3tEAFFqvjotfR+VY5RPQ+tE7xgdp3sQ1rHGUrHYh7pZ
5X1QevY51YZqAz5ZTbhJkBZwoEyyZSpgD7lQ+J7cMlExRebA0ad+UbkCe05j7jWgXwHa5CS4hgfJ
hFj0CB5o0bF2GTqvu0RIqs+TyGJZmgZtS+OgeWqiGZyWt6CUG42o/OQ4TC2EbYX31dCaqA47IzKP
fWGap3HxzKM/pficp1wNb+jrXM6XIuo++VcoSmsYNHG39CX9SB68HcWJTj5v/dk2j1NUOg0gdgdk
n2qjfUhXgxNd5nrxM+UNp7/Rnu6dEp3QlsqW6Mfi2Hh2MjG2r/VCg1wY8ZO9WrWN8mrUs0c/g2VF
nJ/cjX1UPsMcV3ddy4f7PKkptjfA/pQERIkLl5kXOS13ulAM8ktSew8cPDNqXkqgmM4jUB4d4cAU
YNV2Gb8XpBmx591HOUQ2tTyNLjbgMhSukBZf7VyvQB+0uMepLuo7LkX/3m6TNLlwwtiHltdvN1RI
SFj41X5JkvGS9L6xm5IBQ1Nql9WTEMp70CyeFpmxMPnkKx0Kqr9Y+RrxvHbcHFOglRPdGWS89m51
lzVq0J4Wq5i3jivFyWrHkbUl661NivS4Jf4SY43VC3NnlintZkuh3pq+Ml5rfbagWhdlI1mPYUXw
x3pbSkI6B6Bp9h+mGunKPFv+k8GRBBy+TPHWnxr2EntAQRkhA0ZortnGpgOU+cau5VFbI/xLXZOS
vutnPT5ZkyxRTrlooNA9zsa8T6Neu9BahQxhNKgdMfXJY0FuTZ+yp4QqBEZkGg4eXeHb2SUxJ/8e
PbEwAxTkzkspZhpRWk0fYzxgsA7M9LIiUMQRzWLuYzoT/QjrBzULc6DxQjSH2U4r700NhAZrnT8q
QF3HjHh/tHEIoAN7NW6hxb1djJPb6A9RBdh56py614+5UnP6atStDwrPfyurYuhf3SjWntCntiGW
tKtbFMM5Hbr2NVHFLfLN+MKilfof0tYQQAUGwTaWdooL3YVUMXL9xTb1lCI3dkUdozBbM1Jp3eHL
zmRoVEs8fkk7AwzHT6prKxMykOvuUfYiwRNBdAPYi4E7JeMZ+oKhLHYOfLw1gB4z2ldNszTUj5jU
UeqeqDepNNSGbjZEsh09cD+wSgDKzHpKpOzQG/1mJkf/rMFcHateB9zxy0e6PS+dbKOjHEQb+l41
ndYkoK07pfnW6sAtUN7sidnX6MTipMmjJlTRsp887BIYmEQw1517a+kY6WjH2IDu771O2l9EQzgv
8FAfLHNf3Y2e/giDYAQDxg+y/P1kE1ugQ0POTezVTryLyjZspV2e9bJuP+Xs3vTFiN5Uk40HImXy
p9IZvDs5VC35SWxBuBXA7Xo86XRnoVJHabi3nOWWKm/eg3msfSZtvpsFoPCk8bdERn9Y2tBSsUGa
+FYxVK+b7R2Q1rUbs4iVKRnCzKyavYpKCkUcTb/SPTPe4RxDZNNW331O2z2jkbdNKe7cVZChIUWQ
LSkQhiKlgej0fBi0kyxScWbwwJDgxu8V/VNE6CQpwMhcbgyfMticktHXUarxoBdx9yL7hiQ7Z9T2
cTP9ZMjK93NC9WrXjOJ5EEb0DuiHWW6K0MM50irYQMmpOPZONRJHW1j431Va73y/+eV5JLe47jPr
5EVoBSdNcx96VJz7dOFqkkWLXMa2Cp4KZ3HZNVRJGnu2pHLrqbR79CmQ+uITJUSPKXFCEOHJjV1Y
fQegrjJApTT7WgMw7kRPaFuU4iuhucjfVwuGsXqM9Fcqy0g3x6AUVjCyt9IzqjNWJyqZzcJ7oF2q
xKszaXetF39xY1XoofBVv4MmdG5YvChn7qcuEyd7kvHFzyjlRG9pqzDvUjhrxFCUVClCzjfWSEWR
3VlViIrFvJlIj4OlSNaGmBrJGXuDt3drqlq1JkZTW8d9oGgO/dLVevvKE1dCoPVjfdbN5tGJZPUw
LZ1+MwmL36zp2k6f8xhYlOhRzAVtQQ2OYTQRahpLg7B15afZWsVnX6xFVYlZLOHQRSN7tuXMpxIF
kRnKWdkbpILipUKT/5j4mfdj8vp4W/vKQ6ZtvGt+/zNNy/grcQxginOJZ8WyX5CRaVc+U4Smm1hj
BsE5t8wqeokbaz+Z8j1yesBSZe+XCmAP284Qmun8Fe2Wj+SrMjau23xTBcq3wdSPqOCzbSOM+jPG
iRdkUqsImzblYTD6sgIEnC3YzUjc563TbLN2zB5K4dzKuCsvxdL0W5IWdPALJG0dutSGdpuWStdb
PNP0XBcoGGWCg3XDKMV8gf4eQRnRlgcXeGqzughUwGzdnTKb1rAEpQxwO3AZ+Ji5Tcoo/WZk2bNm
ONXGHJX+nhhwzVXquZ+NaB77QfykIpa8KwgVX3Pfylzo6DsRhU+Z7p78OVoutQ4W7ZrqrYoXJAV+
fxrLLOLsrOvtgISO+IbBJBFoLo5oJ472jL4ak+RLOs4Z/JCKghJp+444NX9vgGOy5sg91p/6VHXT
k7VQCsZCVFKYh8g2kcuPDnN2iHW4eoo8rOQpejwkqgXWJIKVhi3OxS6Yy7bYkUpfBI3mfUSx8VWo
OHrTlW3eEe5O8otnPyjR8VzZH4VRwIEjB93WqIjOWBaqc6+MT7cYaT8TP1ovY2Xs+ZFCUbbjwaMK
OIAOtoidAd8fEDDvmVjcR8r+4k2Sj3KnMz3eGaUb3TdRdWp409ms9+SP3pIZEh6snkdUePFmpi9v
0wgpbmYtX6asdh4jQi/2awlwH7goLR77pK9CaMzAHRx+u7jCnzB5F021Dul4y5cO4d86bLI231Vu
R6XJ6J8JtQI3ig/KKMir1vS7aGzvlhzaL+nwDrWQ4HXx3uS4Gpd2eh7b/r4W3V0Hlcu0hkrDWSiJ
7aIpnOc+Ywbs6U5a69BsLwd7sM3UBptEuHMp8dFcnEKVCAVghWcXPbUGzHpPRWX2e/rQ//RKd00/
mqqtfnZ/XuJ+7SD/teH9f7T4kcfrEe70zxe/a1WSIvWnje+Pv/PHxkd662/6Kkok+FnXGe3IZPxj
5SOTk/UNsM1kGdRp1fiTAEvXSXDQDYSDNrrBvxNgWb+xBpIgSoYEax9hCP+dnY/ytr/or2yHwPA1
rtBkwySr9i8pKDXAGCbmGcEvALMAKynAH8cEV4KtnGw+uCTA0LyZxehcg9Ssrxj0tTBnl//RRlD/
gYuzB+mynqgJw6wC5Kpa1/lYkBBu0UGvHd1FPV8qYO38NV0sdanaRf8hzXjCdtVT2BOw/rqrF3wY
zD0FY9UL4hDXOLbKH4YTLFQzXpvaKbcJ/eUl8uUVaJwdrIfCt0Jmoi4AarzoPZYuIhc8/JeyXGhb
m5t3BkFKkYFMj9Yw0Xg8E9H1yR4O+vIr5cf3ogRD+liC6VlOkl6J2RqPfd67B42kz+NQFRLsJC2n
h0FpHJS9sakMHz/WRFyxRutzWMR0k7JQLPJ1sts6hF2DMp6nS+KLtDms3KgQYKsi6jZ9lUv4Hdds
bLoBy9USxQHVhosWAQYFvPO8yvrSC+DI1D5hDGjvcd9K5zwK1/7gFcG50foyap5JIF6OXWPR+X52
m5jrjsSmoLbYx+t949UJ5t3JGK9IoNmquJnyWQi93MHsFwN5DlaSdNwP6USNNbbmrB5697zADUCz
YWBFyjdtsVhyzw0BmUcY2OmkReUw0H5Neq5D54sghD47xp7mujWKZRs3mmmIx5bx+B5eSpt++DTV
y58+9ORPUomM0bwZJSGG4smF7Ns5XepWuHHdyP1aY/u0sI9Q3YYrlp5meHJeqCaLSFvKe3lMAe3N
bZNnD0JUzVZPUbnQJTfeteT2B3qaSh5LWIvNXGdElBmCEDyZVVh59WWHlzLbZ0RNiLSeHjunt/B6
abmxSf0mKSkr7eKT53WuFVomr3Zo0K560EsduDM3Z/tI2FnDHbu03yqjzj+MTrF4+hmmiKBRwIad
F3lwa7hFEAe1vkD2DLdtmXG+DsdSHKyyf0+kNXQh44t9v+YP2yge6pjoTEs/x8y4OxSG2n4wWbtd
/rlrTsXJXixieijx7K8klSdp4Ixc8D1v7IPM0LPzKg4B4zVaaJ7MKY8D/qJb2kUSeqzLrYvjyeVU
Rgs4AM79TdYn3/gZEb7pqB36PL45SUvzZ285F91126+MTdF70iT+rsITs4dvsLYZRbqnXrj1i2yX
G2uW/bA+2XeRaPWNq5uo2ZS4LhLMlnu8Cz2Iwp1H7TDaA7PWf1YkS99VdhZ/jet0OTfKIoR1yPJD
m4OmzqkT76Ucsn2UtsTQqrr9YYxEzmK69p9iSyMezvSMC/ruL4uh35WmRCuICuCSLYN9QXOiUcnY
jq+2wr4SSDow0YSYxhuxCWig+nmpYmoJdPPRAb7aMkmYPzXXA4boeDV22cJ63nf5BwmKPmLKCGW4
1s/KD7LBsZ5qc5wS5AZD9WF5c/wMq0wtYYXR5Ts0KY4dNIB8j1o75l5uhCY92wFupPw46qgnsgkd
H4u8JPJCTiAVsXeYbMJ2R4YdLyCHRO46OxY86H2XnoWf9M/YWYCseX2eW0JueKxRFhgzgRuJFtpZ
5B80RP80smOaOHmsP/igrJwh2ymTez/30sMQVeUPN9X9Ta4TLUPPOJFB27myMLPrAkOofOyKxjsi
qZ02GU/3k8BlXARinA3kKGYUjh0gvU7L9jzZyPZcVwHc5AMne6+b79T9kr+X9Kh0R2HJzUR8/5vt
jf7GFPXyWE1IHCy3GV9ha/H8mrK6GnlNEcrgTh8YtREPGWb3M4YBDBmPsd/nSbufLMP8aqCSu1tE
6t8NOEjvZxoGdyJHqGvA+JzJ0NWfXPCQLGzZk9WuqtqYfU3p37yaVGaLwfMRs1HVoRNK0NXKXgss
0cU/oYH0QzmU7ptpEEdBIUzjbxeOnDDp5gFcKMaIU1ac/N4Id+16A2ggcEXIJ9LcWbEwXmLl11RD
2smp8pv6XlF9uemUzmg4+8n8SR1u90TGsZKhMiJCWPQ5V1AKa7nopJxA4Ds4LmCWfWgZ6pPYHXMr
psrHMWZUV7RmMsQE2FyWshofctqniVbzrwp9YhqgyUsi/D1adk3A9DYs3/IdOAADFEGXV7f20GyO
omWbIkPm0cKnfxi8bjpWU5RaxApYa31vqt81Q529Fn6lXmOvbO7hCSNcS1F67oEQg2T0lhfai+ct
cf2gHUCL24i4JYx0ZZtsLH7bKsSfpXfHMmf3RUrQv1hEZM0BhfblRgPqCx3bwqymJ/q9al34L9dj
Di8BVDqox3E+23IuVlgCk5BXWSavYzd+tSYIP3tAjYj6DmkugrrlJFLhfFClomthFZXpfdwlIzSK
7r/OC/ifbi1c9B55V6vXs013Tpo5FxzV9TMLHxpazW7gsOLIS62NN06XXtGa2taYf39P7v7f4fjf
sCKG4Tn/cji+fX5vvrXZn6fj3//SH9Oxb/8GQfKf7J1Jd+NGloX/Sp3ewwdTIIBFb8BBJEVRY2rI
DY5s2RgDQ2DGr+8PSme3nV3lqtrXwrlwJiUSBCJevHfvd7F60iiGveiuP+97dbwWzoKamfSIbz6D
/3UnOD9RM+Nd8OgoSJ+sk/9zJ5j/TjGM8vWHYhj0JrWmy0mUolzwxvj7PzieCqc3CFMle53eRjAk
N0uuYVkSQgxXbC7Pg0zduVbotplKsgD69OvTfHwSvvaO7dJFj4XyoyUsefs3HC69W1u33nnKArRE
XWEAW2k5xdE41cgfl7R/dVulLtqXTbYdaJTtg85PL/bkI6NFoI0UaQBmVcOY3aD9dC4dhAW4X2az
Nwdf3eW5Wd518DAfgtJjTJ0C2XhG6z6eXAPFejjhXX014bU8kzFi2GHjV8EDkxr1oO3u2cPsdsTj
PiFPkfGdh0F6dZPqh4l26562tXe7RFjpjdGhj1FTFU6AWDBHWNOOhGQk3mneFE890tF3KRWBim1F
iLC7eBhy2cXvCB1NXhr4QfOGBaXeOvFg74NEUv2JJnkQk0cGsOkSD26Y5XTW8cgu37RfVEE0Iysm
qbMwTBx7Yzr18lR2nIdNa/o5JygdbeOQswgYQ3pu0jLL15z39mtaLpQADd/hlyLP1MUfh4TucLKc
tMJsEybU/Nti8OUmK3FrhllkpHd20GYHo4hvkT9ke7weWJsSwTAZl9nBHCvKiaTszzh9U/S1ysP6
rcb5kZWx3+dTkJPul9u3Prqtw2w35Y1szPHMgjgf4Ac475nrVCcUiN0jqN1iYhk08l1p18hcdYIR
AiRMf7NYjUkjQRrbMirKe6Mzncdudrs37DnFb7Pdmk/20Kdru7u8VYADLg7snViY3SvXqp43zVQG
LLm+enV0Ouwtsu63JWv1jqbQckVRaOCq0NNHM7btrdXV1TmbumkTgAVowowbJw4DIwh+WVEJtLy1
hQLaWJySdipCtp1LdXFftoOZh17QdLuZ2KdQmRXaD7Bx6NXc98Ee/OtydaviLKovrrbiTV+aDP+x
MsJFj4HmWUYw7QaK33NNWgBRB7V/YAstfs2YKt6ZJIpyT8XLbS6yug4zERm/IF4CVxTFzF/CZvRQ
SftS9Nf0riTrV5KcUs6VIePEbJsZhXhFN2S+aFB8Z4+J2S5x2/4mlbWYwHo0wz2+5eUNtgC4YKOo
p2vcnPETTlNx6zduyLEpvhoGWd6lZts92ANnw1w43RxiMGfAb1mlDAUyckzSHdYLr+0kzOyxNMYw
9T026SyLjuQDaPptbM4h8nx691QAnHI9HalnlpGauqYASxA35m7olWA8WJs3MrHKcWU+EDkDIGmn
cfjcqljFtzpxbRA2nvO1SIsgD3m2p5eWQV8c0lmdHz0vd+JNXRakbWVWcqC+VExKB7rcypBjtBkg
tA17cGvmbRY5+AUMUebqYqDdepYWk13GlhWTT7dpIlaSlCD7RVUf9ByhLfSemm6cRdJ4TnNB5nhG
LOJzPLRtsMtIOoloGZA96aRWRipOVjYM/tAooCP36+meoZD1otuo7DeISHTd7AuvEuZ0w7zbZ+YC
kEX1k72nMolVAC1n9vwYh0zfmo8R6pbZ+xJLxYyIWPN+wHKheNpPS23j04GMiMuh3rqDnY+POpti
/xeQIxHnuUQW5ii+qCEbgdn6NTLEPQlvXfYBJ6+28iuMEVqzcdH5+U8d8M/qAMdcMcb/uEl2+XV4
//hzFfDtJd97ZBZbPc1jUKpUFCSUsKF/rwJWS+13VyJqB1PiR+WctjKr1/iD312JjuCvhAdZx6eN
9lkS/CB8+CshhGX/EJRCRwwnlwdbznHgVEvxg/M56dxpgP3t3Miolbj7XcFpycIaJJYCkliimgbx
UnXymONYKNQaROQL2vYRsPVVb7fNmRFAb7+KZMkvlSx0ct2g08cFVjcsGz1F9rMzuMNrlyu97WKC
85J6tlmPB5/tsCbqdjt5STlc9eNsPfSAdt7KIRpuFx3QGvaNcj3/L1riEoz0uE/Rbx+kxlrfgzGk
f13P3ZUX8BbDOmFDg/tacVIzZtz+7jxLArUmf4wP6DIWouLzzPwZTiIAJCSO+UcjjeY2jcWgkICp
6TYC84CiDBOiuYWyt+a2MBOTx2rWLq0Vq6fhxLPK3zotGv4VxjDfNVAk5mNMSHy2VWqejJPPG6yu
3YjJfciDrJx7G7npfeBm8cOS5eSAFWMIqarotmMCZmgTwSW9ykYtDyooymaTuRUIv5R9647qhpmV
4WqsWjdObn/pauayS71lHFd1zSGyRNpfqchG2Hrls9wR0atTczG3U6Y0I6e89KeLIxdFbAhHQOPo
tlbVc1iOG2wbDMH8skS4gQygYLGtC7d1HgYQFKGml8oIV6TIMy55M7hBBAg81UEI+E2rPcueH4e9
4zpejE8oySL6JLOx51RuteNGtJ1D148WgezOLfULg+HGXBOVwWxZ0bWtUXduG7cd1hsHJMMyZQJw
ypSNOepKD+bDqev6vjYvMMCyzsGo2bYD8gcwbjZm19eYhqa9vLG4zqX+gFbSKbRj+bIU0f1/Frx/
RQ5mo43i5PBXC974t5tfp/SX6k/O7G8v+77omesxxgUGTfwcbfw/LnpmwNGHqQAlKY1+5GD/uwbC
ijYJS5OBz5iBTLj1hPJ9DbR+IjYVCIJjcXwhi9b/d85C4gesM/Bofr3whUvCkBf8vwBsoC3FMsZl
dtZoCed3l67lip+VnbszEzygdC5GPWYz2U9Vq4xjZSfYAzaBkOWhGrHfekY7f2gn7qkAzRqqK4XD
cj2Vnvy10YXcUsB5emnIxIxxpmL1KcbZfTQoJxkXrwIOm0ZgATkH8sCM9VbsuIezBFF+anTyfqiY
kjq72uswij6CvI06MKa4At8KkEkpw2PXQO2pkSuX6pT6xriZfGmE9kBfcKExABV3Ss4eo9Laf2T+
uqzuW9N3gARbCGTRmmQlg96nFrqDtfMp4wvzJW1kB5ijrAffhjBnkgt+ncJFRUJrNr8kRqv3sqnn
O/hkpdws85jxUsIBl691acr05j8P4L/2AHqW9ZcPIFKUv6/HZBS3vvT3hxCUuyuI3sN1IMCzfz5p
v1cePnM2eyUmmAAHGIs5jOC+KzK9n6hOLYd8FA7yvOz/GhCO8xP/lMQ9uAni27jv3yhEpEkd9Uc6
Agpd2p60I1CE+pbpyLVQ+UNDQq4NZF1wPp060sTg5UFw2yI8WlE/g+Yw1Q3AtnHnywQPFBpt0DQ2
jBxgLS2NLntEd7xH4KbyXSWquOGcW1l4AuuhVGZI8Gj7oVJIXzQ9iCRmzHAh4tk9dgjrsMvYWfOG
18k5DqkVoTnK2A15TifavwhkzgGsv7dyJRzV5kJiOYZgBJhjaUFSS2z3HeWxdVHB6tiuytjzQuR5
fn1lQ/3SQKWM9SVOhEYw5wB6Zzdd8NxzPEFbXZvIerrWnx5I5giekRdN31h2UQ6JCSPSJPVtbJd5
daqErnxk7bL9aH3Twn8Leji0ktJANIBhYIN1abqbMbP1iEUDPkaNOdwLbTvWB9NyrKd1HXyXNqF0
VWX0B2dIHFiv/nRXoo06tI7JiAq1tXWJ7YbPX8s4es484jBQzKfrjCrI4ADQH2k/IIpxBUq3sp9S
WrNvTkSHOJwczT9zJ6u6VpUQ73PM6yC28gaEBfaa6QS/zXRiGrpRUlHEObDOOWhPfGo353f6uQOb
OjNX0WwhUN72o+lcPAhr12Uik4uTG9nZHyIrhOeGWTBKh6NTBfmxxPkahRKkWIqxKsriUEF89Lbc
1/yfb19oYcY5BoM0Cp7tfv2Gh7lHrWsubfvqAWmfzmMNmZYyETcIVETsHfeGsvkIFf4BkPNDwp9+
WxTLRhQ912XMVoh9AriNScfMBId5jYzJlu+UwImaq4Qjute6zr5Qi4GraVx+SyJmzKE5lMEzDMEH
lEBiP4PuczfwLsBH2G12L6m2XPCKjYGXXNlPJeGMb7ik1rtWcaPnmPyi/VzH/KQlsvkTkA7vLVlv
Iloq012C5oyGejdwN9gaSnYYOJ10vkl2iUXq3ZtCyg7Tbtxy8xk2PPVoYGsL5QjTVeKejndmV1uX
ZGx4CGUw8QVXNYgTmiDxuo1ldYkYCqsJ+rcAe8yO3CbuN4vH8lzVxCmTvojCeFVQOswpHN43GpiU
dkoeTTiKV0JfOSrumMiClDZNLr+yXAy+u2G9T2bK+rd+/Yp8BxuHEj3EQ6vlh9GgR5FCuOsO6W56
NQ9DsKtdq37DLRM9f97CqSG5vnlbXVfrw77OD94ib5geRqbWPcJVKveJ9Mk7taBhc8FbYuckBPqZ
0oML14FGdTZ14XPD9NKsrovS439/PhJw1tMrHIdcPGzEfNkmCwd7Y/OGfVsfGlGDrPV6z3pyxyp6
NiD/wnBABFqFWYMUuNCShxMcO5MZ208xxgl0rGOq+DgmsuC0nfhC194ezwN8PFSvDg95m2OZRmnq
Wk+DjUBqNhdWENc2naNMQOsCJg3OS7Oi/8hs4idUYAjwyhq+xlgn28S5y5ohlluDXEnWU0KqtmZR
y4MntLkHhRGcQS0ayLQSzn8AMvm8DqG1435p5z7Z4dPnCbM109JwcVixlM0Y8mFuJ6QSWR/s0hmg
k8Mo8mFNWTr6ZW4gjLAKfg4mDveY5wOWMJCBT6YJBr4Tdc8VBKvxUHOjAzpJ8uYtB159CED6XUVd
Yj9Jh3veo2KKQJ4TlvvYBpRw8BnBfToLH3jKc+4oI7D5ooDFobE2Memc4krCZnFKVSQnOmbYtAg8
uOpdO0fKN/ItFWnkvrepzdJMZh33FNEN3OCzt/C16rYQ7ybhZ9jrSrBtTT8j9xfzyFxZY3xfG4Lc
LxbiyN0niHPE3O2FiunwJa0C60kpi/eTqTqOdkOw3jn4PKsZmYPmx9tx1H7EOUPVNEEaT4vGekIQ
ETzjfLWya5cR34EpNM3vz3vetZlIbcyOz4zPc73/e+lZlz4dgmdqWsnnNNdlbxitpkO8Qbm3N9OW
9U23nb8t0C9yPwZz62/qxg+eDWfhi/y2pGWtlaptLQH8QQDwdX/M/LZhsju4o6Yfb1h3rsfTBUs6
yDb9yOV1CAX5fOLU4LvPY9lNsPQboZP958paVQnpkiMY/Wcrxez3PMbxnL8IOuqIaN11lbIGCJBu
0ol3VPc01/pG3VtJb2/8uPwokyk46rpeN4PGXDfnaMU7Qge3LjgqWMho1/EE+5VfIwBOktKCkTcn
84HlxwHhasU9JUQY4xC2YB8uwbUq247YAhlNMZckDYr7JaMTa6aF9JGgGfEzW6mmPheKr6g0eWry
fmKt5ZnE4MQSU4XGaNMpZ3DpfVSleq5iS5/oUPSkyM4M3ahDHP1ku/6xCtaNCJRG8USzuYa40Pt3
dFPNiGd3cPa6AXDTWFZ3EaZTXeP3iaELxcmXVDaiQFcYfW0gzxl21XBsJiRCd3JjyoxnIOyVpYzx
0HXzsU36GiBHoFV0ZyboZIOgeylp1Nd12+wNTyK6d4cwU/IhostkvsxeURvsE5Wie4uwRLGqIsFx
CC4DcEYPZ1ubtYKraC+wU1qG9QBm3GxTV7Y6YGvASpC6NXwQN3f2eWkP2LdgLZs9XjsBQApAgBwR
RttljWFw9lBgHwJuS1JU8Y1NXP4kuEZZudz6UydPbRawzRG9QZvDqIHzjNYX1xqqG4Mh7G2KE+Ek
7Yi71wIg6yU+8hY/q5Hb1xPqzlz219izaSaDHHbC1hDTe+FWGVxY9cXN8Jifi6Z175scGozRtaMP
jVMHe39wht+AuAU/J37HOHUkZWHhJts1wDHwuM4a8EXGMGRoBjQBHRwFmrsIplwGLzSnshtfI9++
4Xp5H1nnl/ulZ+g0AwYlJWH8QtgqIKtU6isZjV8HOlgizeTPcTPND4lAI25hjd87uQQW3wl935pc
VghJyC4nNf2S9SA1IVWhUGjbGz9Nlnu1kIxTyV5BzsZfGgWDPNdB6u7ipn1qgh4Nm/aojHataipk
xRFLFNrIjRgh6cbUDSdEzNbJbrVxEEHVHvOgd8+VA7uLi1buAEmKR/gXuGGaxt8ZIBtwj3oG1CCV
3zEN3BJNeDKW3LplE5gp+TBfIoTyjgW8hPsYR7hTOuXB5kR4RZuamnUGHjQB1D6InC8MFpHx1jIY
2Ga1DhDPiPs+hRDUlaX5kOvMP1cEWH5BwWWcSWpDS2BAGU7wSWvv524gdGkb0eY5dVPZYIHuqleC
B5iaqV4NKfe3nT+h3PaxWznGxfQamGQ0PXECuPte4uzPqlyhUZHyHc3o62Q0OWR4RO6bQet2bwDA
grkmIaaT+NZfmZCjNwI57obFP94uomAjws13HErxUSeEB9qdNW6s2lxRvZCtZkRG75HGD7mleTi9
UhHvqK41lSB2qu2cm/mua1zvKWpYUVj5tdqllZWGRmpLWmGI64DazNvWnoEBjXBM8BRhigprp4fS
w0LCvI1keGE+QBIprF0sCj1Ti+Oyzh5SJPU46jO1yt6WdsAbstpEktUwsqzWEVw6sBViUg10WK3m
km61maDhSL2Dn/fjs5G3NgRGL7I92BXYUzQzCL0aVmhaVDdpy3ORIvF6hgRRHJfV4gKvAzbtanvp
E4xYQSbRJNAU/TLGGIG21jezTPrNOpN/+mgA7cVn/ACXZDXZrBCma4Q5N16ON4TNK3pUqyknGJGo
hyBGIsawn76d9tPDo3IAYSej+TT3sGoFzGw/TT/ZpwMI7gBuoOjTGVSvJqHp0y8UfXqHCNj5NBKN
n7YiDMZ4jOQ3w5H96T6Kv1mRmDD2zhtiKXbdlXTmwUVZsfSMlYS6bkzQwfu8ouTamkJ1PnePHeid
6KlBEZFRbZVjSyHiDS57U9oAvz+Z1jI9zJj0n6hFEYQ3I2V5YFCf/eHE/7u98W+w3u6Iqe3a//4v
54cmPmdnzvMoZT3PtxAXrDKBP52dB7PWSjfJAbsNG2aMt63o4QHTUJ5YpJ22fEQk6bvHuWIX3U70
sfITlOThoXeHANX+MAbPqFso3t3PbdrqqKqNlJqOjFyqiTRmBlZEqx1Hr0fPMjALvTWwLLNTSj1h
SKdP8fGtRk7VOD30y3ooKWc0iEmU4vEfsgV0KtvKe1oSrlMuaN5JTZE1BdlfXw77x7BPLgc4T9ez
OMa4RAX/wCJNLKNJ50EaV04Ckhbd6VImJx8jTrMpJ94992FwhqCF7a60F85yk0p4W3PaL49T4HG1
YseiWBILHpuMhjjftmvz54SyNAZoR4Xr2GgvwxH2AHqbsY/xNMQcyElpgyq1i+GjHJZZ8duFzXie
afY8YLWjPvn46w/7/+IWA0tIyX+Mx5kZWT9GAQ9BnBqO4RcAoQZ0osE89S06+bym1BEB1hpae8gW
p7Z5Z3QyPzQdHYYm4QSeVpN+UEwb/sk7+nt3I0MuZzX4Arr8fMd/6OQYojGWnt0eMINBsecZHjpU
GknPLY0ZLoKxHlpHGzC3SxD7sR44FZDxpIsri8BCjAFtvZ6cOI789Rtbv/Y/8DfXDpOg/2XTZ7Il
3aYfbos+iQo0m2mGPRB6AkEflTO9LC6ujFd3XpYGNlBA0V6VooCgANPsnyX7/Z3vCkSptb4RSLO8
ix9EN2PiWdVid/FBTIQXhdiU4nTbB1ZkXyzawTFnsqi+Sp00iQFARktJ07eNLnHZWU++2VsXt0IJ
+k9Wj79zWQIH5ZHJ6Za4ox9voJKEvAq9bnwoDU5IDalYjKVTeIQcXIjO6pBnq22vMF9tjSGu3/76
S/lcm374Vvj13vofJ1VGon9eu0pA/n1J3s1BzAUdg8xq5prCrPFVxheSzAIomjP6zlMuI+NorafU
0i3c7Hpwm9q+xY+FwS008y5ODt3aaKobevm/tXiOH8ZyNV9/vuH/zL7/yezb4evh1vnHo6CXX9vu
b/BBY6zwfxqB//7K741oSTwoVICA/qawWSb4od8b0fZPHj0bkjUtHhHTs+kRf5+Imz95zuod8YFz
r3o4plLfp0HyJyuA7GtKj0EOacvBvzMNwnXywzLBkINkZJYKafGoghL+8w0Zz+5YlFmcHFvFIYMU
DIHQnQnNNdRUd1u4HWtYTvf2obWMcFYxQ5t0gsdkWuMhT7SBAho87l53gX4MfP4N4WLBc8px44rN
PwZaBELtuppEs0dx0uUAFRNxbImdAkSX9RGlu4G1gcwHUcDByoW3HYI539JVmg5N5J5K6jYc+XOs
w5jh8Rd03himB6GjTeBlFFHjs9UWEXs5upIvSzcs+LWKeQ+J0Nx2btbfx1DTTl1VYuOfsJvtOgwC
w+rMaB4EPZwzL6F01KZEFl8Z92lUZy0xG6DZtcMhYxnnMpxoF78sWg8E9pnzU1TPzn7WbbKKzDws
gcv6yUFEtsS4eZSQVlbsPSmQVifjrB7jRIi97Uw1vjP+ml6HdY3U/gtGVBHGfjfc+O7Mca3oNgZq
3G1MXRdzlnC7x5zJ+R0zZuc+crGeh5VHS4zTUc8nLnxjgYMaBWinBmp1SHChNzfFlvecM7TvsD1U
EBhtjByIlZyXPs/rg4XDX7qzfWX1CSmIy9BtbQhdxVYiiwIYNLphWcSLe+4gD3K2L7GE+DSK8AR2
h4AOyBe3nbMsRPNv7QzIVRs3mx2cgW0p+D5EfyYhgEgJ8w0nN6IIPssuj7rnqJxN0jP0lzmfXVgB
Zvl1HTSeCEGR5L77yVbkYFStTmyLLI4fWpeT1naQVXHDSau5FCX6DK6ySiTa98q7jfvWu8sdI9oa
iRzeIh3Z93NTZTsRe9N5XupfO9uJOcTNi7eLmjS+W8asPU0BdV3mcZJDIwncAHNlYXkgzksjurec
7jVuq3IjUIAdE7RdsKQ6sxjupyCumncN6vCrOTZ4XbPBuvcUufFZ3BCmjcVniwCrP4u2bSBEDopL
NtZK31Dsfx1pYV+M2jZ29mj+6pbqqxxH3NxwlZrjkLl9WMC3v6WNAG6HDCz/jSZJ/7QYq1dxiAqs
GFHRbxbV9wqNdC+yPdhpZHxFOY5fk3ipzK01A8qA3tugGM9X09DCt7wTknN9umr8mK0u4IgRcZ/r
BiMaTuA5uh9q+24U1tvSBm8m0BhNNPJOS1PBsPTSmqhqgIP6akAJcmXGtvdC4+yJnftX0yYEL0TX
QdwUdtmDwDPu3yaFy6Qk8FMocZ59iFlzHvgJtGKcNrm0TXrN9jgeJwv4LTezm0ybPm5H+6YN2iW+
8iN6sJte128K+Vz/oLsZrK7Z7jOjj+5wXFcYc/L6Zqa1sW0Hb9r3ZnAFGSKh4boMzb1Nk1kB1beQ
naGiywjEMTMUHy1CunAyK3HTCifayTUwL8GstGtqHD2eNIytxaHvxdVqFmSrwi2XxiHu2uQq9wvK
F8829mIN5wvWmL5yNXTFU5G/TgKnrMICf+0j3XTLDoncZ+AfeE2kHZoOALMf+N5rMqCHAgZAcO6i
hVfNKctJEKxQfVwNbptuBkvFNwDOYEX02bI8NWv8oOh8fTNhgKW1uE364ro383irCDkswjSu/B3w
dLXP6mtvnsgtnbxtpVubqBwCEMUahQiJqrqxCqdJQ+EaeMqbChLwVnxmKObe4LNS6ebeCbTzxGgU
gKpHQFUiLHT5c72QQPyZyxisEY1QlXomXnK8Fi5gZhaIrwX2Jc5Ua7qjkIHe2zBtYI0Ml2KJ5996
glj4Wyn3RNmBKUTI319NBEe6a4KkR5cM7J5XWtvKJmEyUnOxIbtDn9Oi/8rG4u3BcYN/XdZwyvVI
toRdPRJaidGi+4XRC1GWhG+3Z3fNtxxi6zGWnn9w1uzL1CQFU5d+doXvgmCohaEfAx3EnoG/K2U1
M0gkRRNbrXkkSgUwC1PYoze6E2gS37z2Otok7Ng+7gLTBrBkBcgcSOqc7AJWMX5e2cbyaqwDSN6R
Tn9DTwESYQbERJgea+9oDcU2cOzm2AR4zMOM8MmtOTl3mihD2DU2LRAe0ZtkzRRN8SBvcpqWG1QM
wVbYqXVi5hLtx765npRqUKJN7Yeo9LSJVT3uMrKGzwTIMBLryTTVS/CzH3TqGAv90QQxAaj5+LNS
WKNMayYTtWe7sTQpkbqNDz0BY1tCfy8DUUNdW8IcUHYZ+v0g7kfGj8CnWjzx2UO/ZrGOSXY3cV1P
0SRsnsbignhz2U9ejrB3QlEGw21ovb2AokjsWxBjDxr6bqPXFFiOYXM49lzXh6aH03/CmDVzhKYZ
WO1sdk5MzunkMMYxnZn+IFOk2dx5pb+g8o0IUXskyjowXsfWnuZtSqzFAiqmRT2ObguhHITmonB3
srOs+YDs91FIsMWggxZKmTYv3MuQW5rbSsBksfFsVaEJE/jXGZaqgMS2NLd2ZRvJtmbg8uLU/fQC
J3M6yQ5kK4TK9qqZDcKqByUncr3mfDiZXj6y9Bcl12BIusOszAVxCSsmsGDvHS9qtqWeg44Mgtbh
UCzVg88s8KRM4GI4dnc4IEbywf34A6SXcdWSFnzXzn4DbL2x9s6aThCqkuU1bxwuEMiPaZ+Ycfzs
zlG9lZmCII/1iqKDsOFDqhdwouaCw32semsM2d2WcbUhOiDkepXsOjS6uNHsmRzZkJ3L3AuaT4Co
CQBGES/7NFxyhkdzy3CdXlo79EczmftrROLG0Wgaj8IP6WMechYObi1heET7dkuT7rF6MRbyg4XZ
gdN72xzd21tLj5zWS2Zm936imwfa3yMzWW+Ga4uZGi51BBIdXNVhsZKJKICc9jZ6IC1Xb+jcvRRB
EGwjHJdnlflKrEDxmaSu1N17rbhyOlJXw5QW5hz65ejw+jQCJekMBxoEjBeNFAeZMxnq4s4eE1Yq
oIaeFGqMo5u65guAjQzlsokJNe4dn+Ct2S1BsOadiYmp615ZvBe4Ia13zYDrZ1fSvcGJbwJYot5q
wiI3Z8DuOk/IC6B/Bs9f2Juu8+DZYzdWtyWafeYxedLvwAre1GKEajKq7jzSpj3S4UfbX6JEuW8L
3RMWK8oV2QuyIuBLo33T0pEvSnf+mCI/+RpQc39BNC2vI5e4wM3a8GFcQmm2heUdBzcK3dnGnuVr
p5z2ZY7oOXixcPekzscbexLmUdvzAtMuy7w3h1HJuEHfoRF5QYtUhR3cFNk8/0pYUcy4magD1tP0
lI6GtZtp574OuDLmDdNAGe3pNyWfsXz03jrFCKHsgJNblQNMYcRLyBmXcI80uAomYi3FNAzXixxG
AC3x+NDKfBVgjdMmE6BeK3rm7yBVpobGVQVIOa3AOdVWrXeNjalWVRNDm6hrdljg4K8PpvwgAGs6
17QfL36z1I/16qDesJ5nvzH6bp+C0ixeY8ss4i1a/eBUzXF0ShGOn8hibfaS+/XabGLv3lk6kE5m
XR1tRF47Y+HwbUm33s2ltKj9MVcKEfWMI7okZ2lW5X70anGFWqY8Tia1eM1A74lWjrM3TL3r6iZD
XqvxqhImfMloPlyzSAy0ExIeFjnAdGQ8hqxVp4BuGyJQSPnbzS4Uz00+EPxRqZZnXXPcr1NqlILu
LAUUHtaE9DpSCItkBJHRe78NXTV+IOBPmHEWwXRD+Mfk7EftVvv/nP//JSUaR2s6ff/4/H+bF++U
bX86+tNrW1/0+9E/cH9CMca9h6wUvbkI6H99V79/akQ9DoCSBGoUnfzVdw3aKgT9Ayzw+7Hf+QkS
oIDJzy9ZX/fviUAF0rg/dgctk4SfwA7WdipAIWvlUPyxh66H3C8nz2pObmdg8gBV3jGr2Dv0+u9F
UibVUQRovEPK3wWBpvZ6QPadIHcGeT0tgcnQNYNTpYI0uoJExDQYb3Vx7ZOEkN11XgmhQafyTSxe
eUqsmIiXMbO3gUHLETVLqk4kwZIxmwe4bYH8nbO6MRCdJTXxtzPRgVdqtsCyAgOKl8QmRwEZQ/A2
pDMAdpgUtHu7ZmZdGifmzbMtJIO7lVxnVwhZHdSf5SbAhZS+D52RvPZo7dSh0hV68RpfvHdmwpR0
EMZ4xtwNFXVK+Ur8jO+MlyJxPV/u/aZY6kvVrmKiZGoJgCdzL3OjQ9cy/J52YKNNQ51KlLYgAjAH
A8vFh884/OLbS9SPYVRwPdmmZtVDcYtEYI6chkEwbqwkssxfRgK0x2WXJ6mg0mQ4JBhblVkFfV71
oLjn0Os5Aodwp2CtTl3gIpFJ/KVxrS1GKncBQzjEDLx0DPMLwxLI12rJPpiKzq3Av6biWWyHuMIs
LG38eFd2PkX6IlVnHE1Y7XcmOIRwAccejoPLutwm5TExiDCL0fs/UstQF8BxXcIBE9O9VRC24QX1
/A78Id8BdihgmM0w3iqG8BgX8zO+deeqAiYFhpz5Yl4OTRc2ZeWBGyr6NaF8I3sA6kqVEJK8JL6l
RUa8QlJMWw+Tz9btqNoyoDwHsjSie61GBeDK6IjDi6CXLcZQ3xaZ9wWgb3zvMBW+A90r7/GhD2+Y
C6ZtTIP5pOtkuud+qJBuVOlzQSTiXWFXM9b12rA3Y09+SMTAfQtEV16CII+ek3pyDlPiGbcGTeEu
ZILMgUJq5xx5UUFoFDCorQW3Yn5GViJCRE3el8azykfkRbDZmA7FzL8zaMgbdBRy2lS02Y+lpj1I
dCYZBX1fdscRCuPVWOTxs1NXznWwyFX+SXnwRCMdowabMo63Hu/bb9ZIAnOIlwE5AfKOcgfddgln
tOV3OoXaqEfxlDVy22a9Syg8WOqzhUYuxva3FCUnkn64RYxoX1vTVB1cl5Nbl8GpCnGE6Puk8Mpn
DdP2aoDU/PNoJy9WQxpzV/j+iW9a7eYaYwsp3f7NgszyPoL9eYKGrZ9iy1lee2Q1QNfHyf4lq7R5
bSwlY/6mceRpLKZg72b1r0PQRAdLsLmCn2B2BmmMKGO/fzW9rHiZQbW9OGOXrkia/2HvzLbjRq5t
+yv3B+ARAQS61+yZSSYbURSlFwwWKaLv28DXnwnKdSyxVNKp+2w/2B4uS8hEAhE79l5rLi/9VCM+
B6fCG+YYXbNn/GNuAa93O9LMTyQ+cujz4mzPBFpfF35hH8cJpjXdHaR5gMx941omMVw3GzX5Clty
fFMEyXREbzERuhumFk8xo7nI9iZOzp3Rbggl0dty7Kv1GOAv5b50QBGyJRJFrPGdjsdS+MUGlIL5
oEijBOfUfIzn5kNSGe7LZIPYoR5czJPofShCzGpO7nHDqFOOnO1SdLRCHKiEGzcOL3zVulcwGGte
jb79MMOV2CBFK5+dHjteNc7ljRX48x81w6F6JfGnUNzDdAuTUH0MI5JdnBpu+mrMa4DNsx9eKVP2
n5eMwAJ0wxoJLcz6VMp5nUzNkVZQ+NRaUfw1I01l3Q71Jf2acanRpg3HdaAMjCo5KbsMxKdx1Jfm
xLFfQYGG/t+ZhLmkCr6WRCS3a0ppMPoWXnmbIopFRtlJRqSLamho4yV6OIiRk0X5mEwHEwvlXTku
g8Q0HK0PsOS8P9IxZ5zaxz16Lm+RQVGB6ztlBAgiEBs89ch9T74TMJTV3SJKhkgx3YTExaGo9SKO
LqNC/7JoxzTTo7OL4kKvqN1RQFloBGiWRhdl7iGSqDRCZUOa5bmNyV2lI1muOzE9k8pR3MnRWdxL
QUsqdxuuwyRoLxBu+HtUC9MlwEliPHD6PKuysV9LQ73EVW1eSndogU/UmCUzn2h3Zn285HAbgIh4
V76VAv4UpPuskvk5EjDiapGBFZumj6VoPmCbFGuPszeQRSY0MezLXcy8YC/i2b+tZVNS3ZqALVQ7
tocQNG6WDiHM7zggP7uRuBNstU84Zu9435+TufDuamLv1xF5D/ehi29JRk11HJM030J6tLMru8Sl
a7fFAOhKhAdjJEEKsTPhVQox1C1Pbr4phD/exIyyX+oJVcDKrGRG2aO8h9Ch8c4n1BsToAkn58qu
OPLY+U0eGASImLq8kLiQ16IV04aTfHwJmNBdOUVR7rt+6jcK8OFn4B7RJvNKqIxu+qVr5R9JTWwM
3eH5krCqEOtsO0Y3yqtz4DplumEyba7xsrWvEhv4tqeh+SERjr0dFnleGXJOUwjhNtjsgw/xINuz
I9xuP/pWzaeAXDOEiSW3yQy4EalojnyriYyLEfVUTOiLXZBIRqP7Sz0RZh6OXvpCeB0nnBnUBcve
l8jLvjZp3F5YBtu94NAHnI//FtDYWmmoXQeogTSLmJJvkM6bO4Sp8nKujOTZT8is7rLIAElZQCdp
g+w26TILKVIS7zD+1Rc9Bcm2rzP/YKmy3bkTlZcxlvY+NSN4rHmJqjqbUNYQzmdsBAKdNUa/YWu5
bfHc2WO85rPfx31I8ouOnMM4WAQ62VezGqtDoXLO5hV43lLaz7Wobvveo3TAQ097ft6zRDO/sYxH
CepgFUUOPNd0psLIOOakojy7VXPrCiJ3Wli/I1BNAddjI6LizjO69AizNtxhnSQOykcT7cQFYlxc
2sACYZ6q7MrKDQPk5jTuM6f3D0on9BGs/NZIixv0N9GuywlEmgk/WcNSvvWHXm6ALGT0Psim6GZ8
7YpuJjT0Xu6LwSK7wnCta6NDAMfa7t53yowPYNzR/tnyax04xpbzXb6KkUbRQeJgNqBmYj+w+tvR
lP5znGtkPQaPX9kaBwfn561jQOfxO8BOg93LNYEq/cWUN/4Bn7qxCuPZO+awybPY/qIC9+N/z1L/
p7OUiw3uV2epu6h8+fr/LtrsqXj5wVj37Q/+OUqV/5LLacmxHLy7S8Dp/56nXPkvSARqyRz1Kc2/
G6RiLTYZbJJGv1h+3mas/z5RKf469c3KQ8X0T4aoKLR+PE0pj39ZAp+zUnwu672ooAbB3+Skq4Bw
goyU6KikzGFtQMTpM3sx7ccxH4YrQCFI+PrqMQvtpQB3z2bZZxT7c7QkRquctyIvbrJePGAzJhEM
eWCyK9XobWaOWBcNQr610oa7Q4cz4sxwz1U2EMQzyZtkGpsn38qvcJJeWcaInrwKNh2iGGTMS/9s
6D2gxTSpRR+fc+7junarYsVApSbHhcQEWrvADsRMw0vcOBL0ud+MT+U00tdPG9oU+IObLn5tsyTd
5MzVtkglz64FVhkZEMaK4tVPiyua3hA3CWhXMfGOZnoFqOuGAeFJhEs7PjEQMcdP0JZBeNbzs83a
kg3yuXSdx1q3OxbBbN0QRvUpqJfGpoc2hbjFbcnImGRM7yw76zEdsicXcdpO0FESTXq13IEu75fy
JXtNqsU+ALNtZ2WQXK0ch20furzz43AfWuPdcvRde6YTXjSZ/zwGqb9fkLgIt09pb5YX8+IBMsaW
GyMEA9H4aC5y7Smd7h2KlrFSj5GVHpn+PDV18gTN+0w+D5WLo9qt4gvRQacXpW9Uxm+lrW5X+xVC
T5UeZ4wsq4lwKYbs1KKk/aDUjmjEBnZDqhWk922cLslI0PMRxZB/8RZ2r6L8id1wpEOKYLWjQ75e
rlUp/g9GPd+MrbjpTDAT0XyCgrokrIhT5ZbGekijVwvb5NaW8VWaTicmRPYBXgypKTHfkAjBB2gw
7Dydk0HNI7uVTt+4GmJ62JGv5svGTuihzQ+NAi2LgP+eXuNm0gUJAlHTIQONnwhlpxo0J6Ae82kw
w2X21xCiWLuP8ST+8Grr2h9j2qGjpOndHWhUYxyZhvu5hp+PTIkH1TqEOb/REsu6TruBNKN+PuEa
ocEKhgOgibSOmMF8ol86jpRmbmEyEQ9FKJ99DhH4nxraFXD5qNXu66a/V1P2mosERo1TAmjMp3sr
kBFgn66igilxozhGtJaSCN23+y4Lh5OgeizrItmhPzxXtnLZtfhzfE9aAC6PouU8InfW7CY8joac
zkx0qy/gZvy1m0R6Q2Ey3Fq4qzbZFAZUjJTt2u+GQ0244rEu7QGhheNdTINhXKeRzogPqugWG5Xe
CdIej3lEbJlpZNYzvcwvemicS+khb+OpKeNabeg4E4Hi57W1cdN5fApc6O8rzv+Zs09UXTykRfCQ
T5zcN7Min5QIIVwdUXBWRfqFkxNk8Cnbcs7Va7rpm6rTdFrVRLO+QcYCaojx69Eru4SRKCN3I7op
SshfgL4eSoOaEnE75VhvP02FJrmyMMlcI1B5m6GC8FwCcqrZd3Y5mzKigjK4YZrfAb3m8Z8T87mU
ZYXaKa8YCQqCGk1mHS4bNJ8iWPWAlsAeQESecBZcK+EyKTR56HTqPrqGc+7NerwIhubVGJuTctLj
d5vOT4Sli9Tle22Wt7Bc0dYgmls6bO+lMDFwgB43PkflgTgFFLcdLpnpHNv11RxI5zdCtL8Ib7ia
z4ZmYcFWEkUPn+Y73aCvxr5wNKZqYhfLTSFJYcws1PEUvr+50nvJG9+L9iOFLJJJEwv5uyuNrjtZ
SVCVB7NLn/yA1XBZjhOwgGurXbWU8qiFv/WN/zZzBGTH+3tpAW90US8xTeU/f/x2oVX4kQce5qCZ
fmztdrgnICsDhUewpGFn6+X74is8NS0L4K9/xr/og9++rw/rdVGK0rB/19tEqTrOifaKQ5s3RGFx
KLzRgRMty8WJCKD0IPzpeWyJu0tHOLQJygay0QoLbJN+joA4hsV86kN0mrNlH3x8rmvYSVvTG0ne
Y/mmR0toMZmpSE2uGNlgWxrupjx8EHaE9nVS5x68xHoqS39v22X1OeTksFYey8Ovv+lPHiFLSWEi
gZbCNhekyvePkJnFfl6aqjhEJlGPpbgR/ozBj+7Bb67zXuO63FElgR27Ni5oPNI/XsgfpTfxD3lW
fUzEhGbdaI4RW5GxCBeOz7DTS6+6UOa32aBv3E7kt9Fi0VVz+FoPrMtLqZIwxMQtOZ1CAxyoP/b3
hu+crWbYRx7LvV3FOTgTWIH1ZE6PoW3qfR6aFepMDchQNO1dkU4PU8O235uxOnaxl29HclhOOJZe
g9h2VkWa8StOXrknbO01KOcHL+x3c8eweKqsA/LKAwYqomqJ8V3MxqfURfNs9vONq2uGwyZ/t+8Z
XxqESGtXUmP9+kb+ZIVBJUwcjBSea+Iy//E+zhxGaoW78TCPmMgoJyZWNjqtDn4r6/Dra1Fh/+UN
JHaI5jPp5b79Xn3LuI+Zl9IFtpThDnHJMS9/t2C+vUnvVkysd6Yi2kiaPpTpH79PHNVplwkBGMIf
ql0bEyUHBuZ5Wekh5+t91wTH1FQH3zDPY+AT415kR9qrnxhD/kHkZbEyc6IXvCyxDiCd2GR9VqdK
51dShq+zM8KZDOL0kFkO6gnbwhKGe/kyi53t4FUfPcattBC88ELpGLo6jkXEHVa3rn1SjczGJNrS
r809HJtuJcz41aZXuKrj9GqYUgj+oV57TkKBysR8smVFJBLhFoPo7srCjLbKmr/h1v92VVQ/eWP5
LdDoC9Zh8IjmjzcMYWU3lTovDjLjoDBEebyOwd8xnk75zhF3IKbcgrvvnXPbqSDlNAB+ZX7dJTzL
QYq7C37ybgyY7nfIqzdYUh7HpLI2kAJosA7OeRHNEDJnk+xtJjQYWYkqHBJoBvSDMMfnuRWr2I0/
YIugqqr5wo0x7dNIPGgKMaRLUbW3snHvV+NdaDv9KqGDvVIVC1/rDARXGujc8iAjXMCeH/yqGb7B
L/72Jv3kJWHPWP4lAUeZ7wX1Y1hDChqH4jDirqHEwdMx8nGU6FdBFf7mF5Hy3SSMsxv7E6IFC/QU
hKn372StLI10vSdY0WyLrXRawh+D5BiwU/mS3wd8CD1lzQEJEF7HaJcKMMzw8lAAEhrprMrCJ841
H+qt70DriZcmcqE9stjkJe2G68wniD3yqfanorQ2VtU+58l8N2X6lLvLZsxjFlrpUzAuVepIWvks
ruq+2CRTaa4pV7dDl3i7jp/07Xg5q8lCAMP/EfnBkVY5f6Iah10V9B3Zd110MeEmfzsEBQU5KWMH
TaHAyxp3HCS9NERFWHPUs+fxvulCnGAK1LA13JupvMGYfIR1TP/Z7TdYVzQjjx7rC/9LMCwPZNUD
ISTxYru8Ru1kAzMa751wOUDYqcH7hIApq6mWRJBcTbRcNzSW2m1j2I91Qt5z0QX1pW9Pz4gsNiNu
KSwn8VUMLm7tT5TiiN0fk2jAt66ctVXaB4AWR2NIjuRA1WTd8QJ3XXbkUAwFip0lDheJKm+HM3ZX
mbS/RFD7jqm0aUwPG8ts9Ho5GDF1ifdjTY8ZLfQ569QjGVG/24+dn7ze1Do2gzybEa61KMi/35Az
DcIa92l+aF39jOLyrhXsewPHLPKRk81Sf70dtcvOl7vOp9J7e+eLqNvpkUhHYKTPRZ1bm7Qrkq2P
DMwbGsslmZLodvhoBXFWvT5kEuHPEKeoYUMVb2vUus8QLPwrHIcRWY7si7S4cA6wlq9nFza7wRqD
6uphsCi3RGNVa8Yj/XoKgVVmHpV1yMGQ/TAikWaNnHW8cBOI1QASVo2JQQ5h2drvs6uh7++UDQSg
zJxpGzeptanH+ZRHI4SLnMB6iUDPLvWz05Jd0uCtczkdHNLYOQ9sIhwy+3sLjOhSzXfun/vrf90K
v3MrKMdkGf17tcLH7in6vrPGy7P8gX931lADwKUSNLEEIgNcCuzjfyoVFoSfw7HBlkL5nlC4z/40
KdBbW2h9b/22P2UKi3pBCGsJdkCj8A8ba2/1w3f1BdA/Ti6szYsgAquDtWwV352RSoJTolJ7+sqH
kwEd3BsrrXfA0kDH5Mq6gBi7AA5CfOetrUiE05oknZgHTNdFc2gYpfFYl6yGuCy3b7SZSGv7JkcL
h4+6zKaYvOaVNQowoIc8d1Qw3hmuxnu77kH2+epjFEw+ur4+B8PrhOMAPlVkgXHt52rIj2WTELOz
pgVZeq9WBdC7P4ycTKbhInR7GQcXAW3+hMaFVw8fkOcL9cEoStekdQNJZxsmY0PHxrWVde2BCVkL
LouZvxIObgczXF7wWfMC5gp6DPirc5Dn0b52zdkibN0J7ovcjO7nrrQOfCm6DjQK/0BjHN8DtmqY
0+VRcjuV9rmbGDzOQFHJ+Q36J1/SjG9aWBHQP5EjOSIhW68c0J+zDs/k5BwTIpJsWKRzyoyXJgwm
8RM0rQWslyyQvShMwetNcHQXD7YR6g+Glj0kPrAzyTITqNA97pF2Rj2d+Td6nxRhIIGD5umA4O+O
2UPcXFUTcnt+hZwTTj5cvD3m/10RfrciYHCjuPz7FeHha5OTcfPDovDtz/yn3Y6hEUwmRiQTUNwS
MPPvRcG1UDYpFwuSwoArYVj9Z1EA2MkSAoEbzyFnxaUX/2fD3cQK5dMNgDwH84rm2T9pur873rAg
2RSJkPLYZ11a/++OHp4c+pmYRFqZHvVWHpGgu9gwfnNgWzbs7xYg5gaSgy8sEo9SlDvxbkMP+qE2
rTIMDn1SFHKFnJeAhikovxTdAEvHwdCZzQTgbMq5+51XcPm9/nJxZAqcFbhtLjf7x9UvAkU1Wann
H0Lll+nObdpxM0yS69rEhiYMuJ9C1iYfh05sbdpZx18nA87A1mkca5MRDrnSPSyYbqDzYtVGfeyX
pJTWS+inJlnAvFI3+EXCcL7qWze4y51s3Hz3UN18u1Xfm7V/+iVcFm+IwWwKpvPuDooGOWvezf4B
A7+5nSB97nIDOk4MPeNjbQl0ODIF1GTktCalAIE0+vTxYZoBguhif4lSNSF4tVC9xYBlk5jxGa1R
ml1MFFB4pjCc53FPBVXMdC0J4/6dkfUvVR0PgYfdDpWcR5Hyvs3SYnHvtTv6iGWrEZ/YjI9kaDSp
fMnrr+/Wsp+9f9zYhGkJchCx/fd9FpuJNqs4VxrgfNA6AzDUOV59bDqrvhU2NfKvr/fuJXp7vH1c
hkgKFQ/ZAr/8fn81ZVsUyDK4Xhg3t6woLV6C8HdO5J/cPwVsz6IgoCXIbv7jVfyG5SIbDY8TFiZj
j7tWWX58SFvv/tdf583T/O7+2Sb0apcXjyrm/aKQgAPwR57BA40c6A1ua24jn2dGa344nVsgJ2Xk
YDsqu/ROD/DxKuxfG0V07l3U0/XLbbu+bfRCMHIGuJiVXGQt8CjnQ5hVwbHMCgJheTY/QpYq6J/O
QtF9T0aEeyrkIlOlwEx6TKpb02k/jc4cH379Ja23E+kP39ITFF7cTtPFKuXbCxDgu6ooIGeeOU8z
HUbEDitSqqjWQSyh0m/SXQnggiZy+TpljYGhDmUMD29yyPKk3w2y6nZp1TTnioR7sF8F9btTiE/S
TOOzTegdrrQ8/0RC2LaRo/lBMmjALAenY92ggrsnmcjfRXNcINqMpo9RWJibIoz1Hl2lTIbwC8tZ
enA628acZ3J4i0sqMMePqE4Cc2uFTnxAqaWRlMT5lgpI7lur9O7RrCQXiQE6oABQz3gnDJ4jNp51
3qZ0d6p5uK5ghdSrYXbVZe7VGSUFupBqMBWTsKpfAyArsW9LhIMpMs8HPC2cQ7F8Fbk2rm1Eiy8a
VSS9pqjbhmln7e1AkUedOEhOZmICN4Y7K7Svlriv+jb/5IZR+kpCQ4mXTvjQSpZAKbB35VI4Qm16
dCF+bdzcbA6272cXiQZNP9e+c+3giNqQ97CgVPN4vO67gszRZGFs1e3WmCBLRUH61UgN78qA7o7u
IQ63htscqUD51Mhykfr5y4yoOMNvh0I2FbSGwoZJj+EWe1Ell8v9JAMxIZaMjiVdfFRbMrc+25Dw
VsxzxEUIUvFS4VT9aGRpZ/JPxXyWvYG2Si/8e8H+sk7y0dozDPMu+llZTw0ivxuMAG1x0VGKMiJu
saKrHbpcnoiBXMi+tqynkoP0Lo1M6GnVBMW/NIvmY6FbtPKkNPHTTOQ5TmV4GHW/iyLr1gxwArC2
DRckeuqVNsBe0m43X6yG37xxZHWrm+wqDkhrw76RIlrN+k0f4BWI8g7aqxDHysTHIUKlAPZM4QdM
y1cECX+JSFA+RF0n7gI5a7LSnE+ac7aZF8VmbFridxLHf+gwLWKraeSlO/Ujot3UX5XDTGoDeMZV
n9TGqhsEREWAJSxRPcyb/E05Uy5Jw6G/T1FKrrXhBZ8NgE98mCnYRSY+PrLUoQnBSxl4uIbR3bAN
pSBEPIcOzhhDPAgdcw/L2TjZJOtiqi3Fupls/YQjRgAHal2PfpHtISU0k+oaIye/EDlt9UlrqS6i
YsoO0ooFiX28Lo6hS/SGtDVn4LQmss0VOCSma10UrCeRFM/NoMLHBMbgi+O2+tEamvGYe95wkQ5+
t4JpoC7RAlVAG8kKRmcwXPSS98vQKUq7TOvQWonEbSWMSd+dSSWqHbhQIiS115inj2ogaw6YbnSB
DbHaqqzEy6jpDsKoiffSqYvLeCpBCgs8SkQqIO0u+pRUZ2eqj34l0o1T9npvOMSZ161Id0EyaAwN
zVie4QFnm6CiKJgHLVZNaaKLQMa1iUN2DjkH3gqXYLUVw2hu+cbN0XWAh40QejZmJPSJ1Nv20+yP
6trkRT3rWNT9Bu8x0x+BlOqrTJpx42diPmBgbp4jF3qQU8buQxSTD1swFLw3BPVFVlbRdcp4iKBO
Sj4CpHC4hX7Cp8sm+lA9UxnSDJz0LgtV/ZgkVrpJxTxuSL2fbgy7Iro5ldbFqGqsRUgVH8quJSgb
39rLbETikCVwvpKGL1lXlF9OVgbHmWn7QWurOlvRHBzdlpYVHEnk4o5lk89QFtXWbwa+OWr1a18A
f7N7C5hXR5aMslV4PbtVgF1fzfwZ08/aT8BZCXltLD4JjFSxH4aOr2Q4Mlx1CIvx+qSJvbX8yL6W
LAzruSBTuerM+SAgoa59tw+O1Cr2ugocf0Ud2RwHh+dVWpF+pQYeHmLIQFurNPGyEteHXNlWGMtF
Xu9RbdunrimNO80FwGlk7Lwzyep8bB3ZXyANodJjMNfdCRd+C56l/q5BPLlpyMx4FJ59ooWa7N2h
LvdtYtLypl60TvYkEGuyKMimt85o4NSuisiozFPTWQ9ZEu1KK4gAFfb3MljE3l2H8TUdMd3FgvjY
wic2OAqHfVMNOtpz+930GQNzHV1yIK4HnmZG1vC30JdibxKbhi5icOkHOSJIDI0g8xHkq+g8jeaU
z/89sH79v4jELGhOlKd/f2D9FLfPJY9f8cOR9duf+veR1XP+RQeLcajNbI0x23cKMd/8F2RnB8cL
CA6K+O/Q64qeFXwa5VHlK3Nhr39/ZKUD5YIddACLMihQ/+TI+mN1jzKMUs1mZVTALd9kbD/WbRSu
UdqzP58ACdCcyjnJ2ZI21axRwq87RuG4jf73Bv3k8PWzC7qmI0h7oLvnyKX8/65QTPnWlVnl9smy
TW8jFwzl7MOXdTIPXxlWz/Ovr/djof/tCwKi4n4BOPOYqvx4PYKlYAiAqjq5ZeQ8JT4XsJJE3rc2
4UG/vtSPB/O3S/FT81szOhfLKO3HSzXRGIV9KtUpzUdgVm5CFdbNgDMdM5TnDnn8g5sSAk1hOd39
+tI/+ZY8STZPgwcI/C8ykbHGqieMRp1aM4HK7VUwyOA+0PzGi/O7E9q78dTbF+UJlHiHAHyRF/zu
i04lxiV3ihUGCGawBIA0HEjGRDBdHzqXiojYzCo65tOE3F430QDeSRK8uJmy2FiLBU78T78+8BnP
oZCXHLPUe64UQUQBDM9AnbwRisWaA0K8F0bKv/3/XYsWM70nHmEenHcPFGJukdGwVSerhYvbK6N9
AWYBbi0xf9dtWe7jfw5Vy32mk0XHyraBtXuoKX58oBCFNQQU9+pEBNxra6Iz602EH//83rEI0bji
YqxS735MAefD7eDwneaF1Jx4A96ft4mZnBf88K8vJpe78/4rLewvk+45t/B9N8ELLDnMhrROicms
aGMNXJMdEXIvycSwpevUfgIoxUtKm+VOR511wTDN+rah/e049ydPMIEXLHtieVWXFJ8f72zAhDcI
nFSdJq8zj1ZagMqpAzDzldHyhNZ+nm/T1GwwfsyM4pGC8/La+Hv3rCDNb07Pf315+QyLUNdffum/
aKHSzHdg5le8vBxS7hhljHDteyQkjM62v77/P7uUg/6JUQhbi/n+icJM05SNW1un2Ob2+v4iiMHU
w1LvMWT+zRz7x6We5XtRPwsXAbLJ5f7y+FZRV2Z1XRnHQC88XwN75ufCAgI+L8D7gbOZ95tnWf64
BC+XpJ/jCjZunma6O8tH+m53gWRIWwlB9lEEFKrk6uDvaTGU3YFin+6I/OV3tWwwiBAGwO+FvFL5
hFrHNQoaJV7s1Id5mdK8rSCdSgGj69mEIRhEBtjGWNI6+M0v8jYw+s8rQcsZEDA9aRt2lgWo673o
jrFFoiaICcc2E/lOzJT6ZewYu1C2ab8qBXlG4TrLkqYM1iQbamcr+ctuOXjDe9dJxmfEwcMPGdhh
94K9oXuZTNyxK5qSvFcmU9hoI5pEDiv7LQEAb756qiNvukMg2VBV88caOs0XLgm+DdY9wN7jEsfQ
wTk6eaGyjk3CDUTzmOibMM6MZuvAaH9goGvQN/CDWh4k5k7oUKQtjJvch34IYz0OLNxQseXsSVTi
Gh53GsOevgFzK8RKDYqTIp4weW6jkiekUrL6rLG2z3sjQLJ5HKsFz0wQZbPRjQQhCQ6ie0mTrP6M
TtysjrmM9Z30qFoMszOAoiO0i79I7fOTubPlQEgYPejAeJJ49rrUeUrjhT+ugEA9aemT4yCrZYce
BvuJsCnzuYLlfxhqt75rnC7f26NLAHQcwnFm/R3s1ejb7DDASziVQeI6qcnz6GggM7AmxR1d8gM0
rpB9YJF38Ub/NkpT3nMe4v74Y+DetW04P5i08l6+pUO8zQ7l1LQvKeKypVMG03xuA4krTTf+Q19p
fk0j0NaFH5AutcoTWOg096ER9gLj29suV7BT4yN2UJvpPGoSOvSEcgOIcHmyVeTgsMmBTrnHaClM
QBzjZFsonCIxocWXmtl5JgziGqA+yHMd1zw1YIpIq3AWvDtnU9K2h9LTOGNF4DrHalkvjcGt232r
Brpf8IP5MPQIF8cXVsYXpyS0nic4BNmZw8I9R0YO9lG/0VuD0lsyDbRaYPlpsPQXCnQoUEoNOJUg
6Nu919F1hyREQIT02Is68FeAzzP2ZdqEDI3XlcVBdXah+qyBqNtPQ1nbT07Uw5Rui8bHzKhlA0t0
Ng8zCUPuxgwd9aUYhuLem2N9ldXQcGraQnJFoKP0YD2I5hiTiH0REmHP35JNE0PNuew3og2ce/Sh
MYp3hz7byrUTffaYlZxyFaEhzlPfx/vUwrCCH7em96/vUyYQ276MquqYCuxuBc9kBO+6LW67qsUM
lQR9/rW0m+7VUzMOd9Ptz+hIyVPRU8LwleixalzPGQvXKKqGm2Do6pF2HuTk1tbOM4NRuWkZsVyW
rWjCnWBugCKqr+INKYk4acu+PPvJADIZ4mv0JbQIOXdLosw09Ip9XejgJHXn1nuvHZ3PKB6XsUU1
f2GyXB4thV8bK6aavxRZnQKfMOd1C0OoQZFkI9xOx+ILgdJutymGqKXh0Lj7pRgFmTIByt80TW7g
TSSIdqB42eWeiaWAVgIQIxHc9WlrXBRpXV0kTdTutN3rrwHN4y0pH8at9sv8MU4HYjl0gQysiFGM
1C0k/7R5IhyK9yMmYDsw82jdD43c5XAzksYzzkuzkeXfCmiDpY2FktxxM4us7nRhjNmrhoZBWC6/
fDVeUunSnbckvvQiRk2mAvR9gOz8AMsgFEKvrFoY9cRSzwDAgemV/ccqdepqPRTtrl90mUUknjO3
LR9BVpur2JfTrjUCa9NnfA5YyvktuxIuiZnl/dJRNdlzoeAXdUMzuSxdv7ghW6C6QabFQ204VGRP
OiAzw6D7hhx6QWluS3ogyelbsArYPlC6rLbdS9gIFiQY+5hQsZ/QsesG/6FxeyCiXg9lZbtwBJCz
gwYYVrBSoO2aNlyDQKrphs6RsXZ11kAQABkFncwOYsA2Cj5iky1/m5yqdo/iiyWI1ZjCbNEuGBPn
qLbF27lxIBXeD5Xi1e8juz6oSeG3tWVafa4qHtsFMkLrLc2K7DNA/ZB6LoJDIOnPlMvoo63yL4B5
vOpVV4NatWTVQRlxu3ZbJGr8mntjjWs0NexPOHGJJYj89kC/FihTMYUxiDqZRH+0Q/eUVDa0FxWH
2I41y8djBqjO+BDPeNoPnhnBlWoSVAVZnG6jcawPieHMOzTZ1UeMy7m78l01fgTimN85YfVqZvPj
xDDgmj51d2Bdxedk+k2/VX1lvhAQHr7McTx+CHuXX443HgvukIY+Mxd3RJgXxale1VnrHh2bsGLy
67OKFC+HdZxsILAzh86fxEnVpb6qW2g1zjzFxqohwhhgIr8CHkn6CQ9GMcCIn2SXXU1No65njPTX
tVT9XR575GSQ9PeMOSDbQj6y/sBDM5w6p5qXLAkzdlYkipENAx8b3NU8+itmJywXfmATjeGpox6H
P4LKGD+MXZjeyr4XVw3srC/p6KThuskiUHtJASu91lZ49tG0XtEnto6GP+LWiYawfTJjDOE5dORt
EROWy3TeCFYKuEBDz03HO4NiFhq9NE1sxjgYgUZlhXUPH7lCSGfNHyoS5y+F7ufbDsPyyh/C8XOf
dTWQsLZV8XGKp8kmbEIYzsoLcMienUmM1d6P+vbAKde4TAhU+4huw/TXBrRzJLyGK1IEMt54Htnh
X+VQt1d9VQ37iY3wVCRtnm0qMqWYu0mOFxGL2x75vCTCicrCWIeDO9yG5gDGqUgCmmwtS97ndOrQ
cuvMvpxik2UU7CYitJqAKyKy8qYnn7YozavO1bO90n4tva2XuYoFUY5fSxOh/s7HGrULK8JZlKrp
UmbOfGh7N75rc1l/xE/VPniZVtthQls0k325SpnCr5SIooVgl7iMN0Y3Xstgjl5oZ7MPdYIxNZT5
ONsobtXNMHNOIfXXbdZ2GcTXpnCnj6IZjSs77pgsxFZt7TzwKO6qqAp7V7euPa5LM/bbfc+z+xpk
0fSpIvHnebQD92V0Opy5onLAWrfIGZnQlJnbrIL/4e7clhrHgTD8KhT3uEjsYOdipmo3TC3MLjCz
S+3hakokmsQk2ODDkPD088myQuQcYJBrKrW6wzYt+U9Larf+7o440iMH/UN8mk2eFuVZWNx/7U3m
40/57R1hI09xXnz0iUZPcVYnD6QvjR8WvwZhlg2m7M5XR7PH2w/d45MvxWl/jM0+flrM59QJSwm5
6pVBERH5RhD0URB++5fYoLQchOOn26vjkKLk0G6T2VVCzSOIrd350ecJKbgH7Nl5J+Bcj2wP5d9z
PLBfAv0F+78h79QvcioK8aHycX4uZbb4U1LEpFjWpVV3q1T21+nbHjJ15jYLOniVd5Ud9QT+ztJ5
uJRVjXiXjJkoYKCP5LvDoOv1Sbse+D5xRKoRJTKjvlt9+4iae3AjYL6SR7hqfBDS4QpI22DY/YYa
z93P7HoDDdD56N0hxFzilJxA8EOv26NGDDwmDQKoroJA7kgSNXEy3wk0h113+PNBGKZlUihlHMep
5TInWuN1GDQkPCuC3/d6cFRCiFcag4Yi9GGTdiIS4uNlqZru8OdjIEZ3MBFY+bJ4WFjHBmRex13j
pgkdL8C7w7EBhBPVGpoACj5TBYoahw6q4T/Zr+mAS1kVyHZCITgm8p7pgA9BtwYKYehB+iHiqToU
2EsUgq6P59QVBY5YICSuvOXqqhBBfVQZ1xRpsmoa9n2aET0OpRxRYG2E4UeoIE62qqHxqyiEkacU
BSJgfX8PUaCGiiMKHCeSQkeR3eq3hJ61igJRuB4+Q0LACN1UTXe4R7rAMcha7YNq6/4RY+GYZB2E
NaNVWhfYB1dRiPpk34jgLUBz1K2CfZ9Q6FAr1VEXupFH0RkVnlu/ZBOFrhdErApdsodUbe9mBJEL
fW3H6QOfNxmOgReRg5sYhxqGxroQ9bzQJyCSgD8N0w8Yjq9QmKUlPpjEs1Flg8cy32Sqb3vA2J7r
92u7UxmXyq6yHlQMfd33s4n+3jJJKtt45aaxlat+6n+vX3C9a6sv81bm4lksMwF/aVHdWNTDvBR3
2PG/zMSNsBOXshChec8jeXdojXNlFrwgOJ8KI0dhQjgLW6uzXLIZpoktmOO7NgRPRZKL3Eiqhkyk
k/l7Y4zF0lDYBcVAzMjwkjVKw+jvD1c4BukszcQoNaNUoybPApPGXXKSyGERD0vLWiZ8nBnrKvxU
zsSjyKSRpIZN1qQWwDYW/kH69QBwyrsbuyIPccQtaCGcvywe2VqotwhXZH6TKWWEbMl8SGOOuUo+
A/E4NnIq9fYr6pOr4PMRyY8tuUHYaWEJOSezUpLG9ozU5ojzkJMRiYhslAn+Zot3lpw+NsT2I4w+
V7G/r69NMHw6LQhmZOVwujCSKr1QBqm58PZ1748UvvIazGSGaEE3LiiVaK0eKpSshTFfCLzIzcxz
x9hl7nBciDwXQ1zjsigsnYYME7QBSTycxGNh+3e0xeaqfRcxe0GeFpZmk6pcpWNwl52TeTWP7++t
takLS7El6WmZNUW3MnAiJhtriKLb9N0huZQ3mWhYT1ClqO7mjPal/CbsfQuHh9+C+XQpHw/OxN19
PontbR35/RZmj5L/UWa5XBgQ1EqFK7vTkvALOY+H1jaGcPXR56rgauT/pdnUSKrHrVzwzqKpLDs5
GIgsZae0J6d/0mmtg1Mxbc59+FItmCRXk9hGXLvfXGHZVY5hO/38Vbb8VSbJrm5+ueqnDDjkMBfe
vll+kkmSExQhGp8JtV/WFZKXsqo6wvJXWm5RRJzriovqOn7dwboiKvEtfI9cg77Mc2mZFD481RZW
xms5t78qfX3g4ArJtjQejj/ljlwArpI3FUjVrmZXLP4R7DvJmLqdRtXU1MShqDy4zsLlC9VdHXHZ
GcziKnuRcuw1NiBUqJwQdmEubFuwNnmalse36/4ncyy76d9s55p6YjiTInv/HQAA//8=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Sales by Product Subcategories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000" b="1" i="0" u="none" strike="noStrike" baseline="0">
              <a:solidFill>
                <a:srgbClr val="2E75B6"/>
              </a:solidFill>
              <a:latin typeface="Calibri" panose="020F0502020204030204"/>
            </a:rPr>
            <a:t>Sales by Product Subcategories</a:t>
          </a:r>
        </a:p>
      </cx:txPr>
    </cx:title>
    <cx:plotArea>
      <cx:plotAreaRegion>
        <cx:series layoutId="treemap" uniqueId="{3FD45BAD-FF4A-41DA-B515-D1AE38B9210F}">
          <cx:tx>
            <cx:txData>
              <cx:f>_xlchart.v1.9</cx:f>
              <cx:v>total_sales</cx:v>
            </cx:txData>
          </cx:tx>
          <cx:spPr>
            <a:solidFill>
              <a:srgbClr val="70AD47"/>
            </a:solidFill>
          </cx:spPr>
          <cx:dataPt idx="0">
            <cx:spPr>
              <a:solidFill>
                <a:srgbClr val="2E75B6"/>
              </a:solidFill>
            </cx:spPr>
          </cx:dataPt>
          <cx:dataPt idx="5">
            <cx:spPr>
              <a:solidFill>
                <a:srgbClr val="EE8A12"/>
              </a:solidFill>
            </cx:spPr>
          </cx:dataPt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12" Type="http://schemas.openxmlformats.org/officeDocument/2006/relationships/image" Target="../media/image9.png"/><Relationship Id="rId2" Type="http://schemas.openxmlformats.org/officeDocument/2006/relationships/chart" Target="../charts/chart2.xml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Relationship Id="rId14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13.emf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6" Type="http://schemas.openxmlformats.org/officeDocument/2006/relationships/chart" Target="../charts/chart6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5.svg"/><Relationship Id="rId1" Type="http://schemas.openxmlformats.org/officeDocument/2006/relationships/image" Target="../media/image1.png"/><Relationship Id="rId6" Type="http://schemas.openxmlformats.org/officeDocument/2006/relationships/image" Target="../media/image16.emf"/><Relationship Id="rId5" Type="http://schemas.openxmlformats.org/officeDocument/2006/relationships/chart" Target="../charts/chart8.xml"/><Relationship Id="rId4" Type="http://schemas.microsoft.com/office/2014/relationships/chartEx" Target="../charts/chartEx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30480</xdr:rowOff>
    </xdr:from>
    <xdr:to>
      <xdr:col>11</xdr:col>
      <xdr:colOff>121920</xdr:colOff>
      <xdr:row>14</xdr:row>
      <xdr:rowOff>144779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BF08B6F-31BC-0E23-2751-9A91306B5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14</xdr:row>
      <xdr:rowOff>167640</xdr:rowOff>
    </xdr:from>
    <xdr:to>
      <xdr:col>8</xdr:col>
      <xdr:colOff>259080</xdr:colOff>
      <xdr:row>24</xdr:row>
      <xdr:rowOff>144780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96D8AE1-2E92-A12C-32A9-9BB387196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327660</xdr:colOff>
      <xdr:row>14</xdr:row>
      <xdr:rowOff>160020</xdr:rowOff>
    </xdr:from>
    <xdr:to>
      <xdr:col>15</xdr:col>
      <xdr:colOff>502920</xdr:colOff>
      <xdr:row>24</xdr:row>
      <xdr:rowOff>152400</xdr:rowOff>
    </xdr:to>
    <xdr:graphicFrame macro="">
      <xdr:nvGraphicFramePr>
        <xdr:cNvPr id="4" name="Chart 11">
          <a:extLst>
            <a:ext uri="{FF2B5EF4-FFF2-40B4-BE49-F238E27FC236}">
              <a16:creationId xmlns:a16="http://schemas.microsoft.com/office/drawing/2014/main" id="{6817D914-4EBC-02ED-32CF-DAB20C73C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99060</xdr:colOff>
      <xdr:row>0</xdr:row>
      <xdr:rowOff>15240</xdr:rowOff>
    </xdr:from>
    <xdr:to>
      <xdr:col>4</xdr:col>
      <xdr:colOff>449580</xdr:colOff>
      <xdr:row>0</xdr:row>
      <xdr:rowOff>365760</xdr:rowOff>
    </xdr:to>
    <xdr:pic>
      <xdr:nvPicPr>
        <xdr:cNvPr id="5" name="Graphic 4" descr="Shopping cart with solid fill">
          <a:extLst>
            <a:ext uri="{FF2B5EF4-FFF2-40B4-BE49-F238E27FC236}">
              <a16:creationId xmlns:a16="http://schemas.microsoft.com/office/drawing/2014/main" id="{2669F7C6-38BE-47B1-ABB5-F3BD8713A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141220" y="15240"/>
          <a:ext cx="350520" cy="35052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1</xdr:row>
      <xdr:rowOff>129540</xdr:rowOff>
    </xdr:from>
    <xdr:to>
      <xdr:col>4</xdr:col>
      <xdr:colOff>525780</xdr:colOff>
      <xdr:row>3</xdr:row>
      <xdr:rowOff>68580</xdr:rowOff>
    </xdr:to>
    <xdr:pic>
      <xdr:nvPicPr>
        <xdr:cNvPr id="7" name="Graphic 6" descr="Coins with solid fill">
          <a:extLst>
            <a:ext uri="{FF2B5EF4-FFF2-40B4-BE49-F238E27FC236}">
              <a16:creationId xmlns:a16="http://schemas.microsoft.com/office/drawing/2014/main" id="{6A97FB86-BC8F-40ED-A671-15F4F79E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255520" y="51054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1</xdr:row>
      <xdr:rowOff>99060</xdr:rowOff>
    </xdr:from>
    <xdr:to>
      <xdr:col>1</xdr:col>
      <xdr:colOff>533400</xdr:colOff>
      <xdr:row>3</xdr:row>
      <xdr:rowOff>53340</xdr:rowOff>
    </xdr:to>
    <xdr:pic>
      <xdr:nvPicPr>
        <xdr:cNvPr id="9" name="Graphic 8" descr="Money with solid fill">
          <a:extLst>
            <a:ext uri="{FF2B5EF4-FFF2-40B4-BE49-F238E27FC236}">
              <a16:creationId xmlns:a16="http://schemas.microsoft.com/office/drawing/2014/main" id="{9DD04364-A066-5795-F497-02C177D10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19100" y="480060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7</xdr:col>
      <xdr:colOff>167640</xdr:colOff>
      <xdr:row>1</xdr:row>
      <xdr:rowOff>114300</xdr:rowOff>
    </xdr:from>
    <xdr:to>
      <xdr:col>7</xdr:col>
      <xdr:colOff>502920</xdr:colOff>
      <xdr:row>3</xdr:row>
      <xdr:rowOff>76200</xdr:rowOff>
    </xdr:to>
    <xdr:pic>
      <xdr:nvPicPr>
        <xdr:cNvPr id="11" name="Graphic 10" descr="Upward trend with solid fill">
          <a:extLst>
            <a:ext uri="{FF2B5EF4-FFF2-40B4-BE49-F238E27FC236}">
              <a16:creationId xmlns:a16="http://schemas.microsoft.com/office/drawing/2014/main" id="{82080A7F-4960-4D63-FC74-984CE166C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038600" y="49530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1</xdr:row>
      <xdr:rowOff>76200</xdr:rowOff>
    </xdr:from>
    <xdr:to>
      <xdr:col>13</xdr:col>
      <xdr:colOff>556260</xdr:colOff>
      <xdr:row>3</xdr:row>
      <xdr:rowOff>83820</xdr:rowOff>
    </xdr:to>
    <xdr:pic>
      <xdr:nvPicPr>
        <xdr:cNvPr id="13" name="Graphic 12" descr="Users with solid fill">
          <a:extLst>
            <a:ext uri="{FF2B5EF4-FFF2-40B4-BE49-F238E27FC236}">
              <a16:creationId xmlns:a16="http://schemas.microsoft.com/office/drawing/2014/main" id="{C0E4C14A-A625-332B-7DC7-2FC2C146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703820" y="4572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175260</xdr:colOff>
      <xdr:row>1</xdr:row>
      <xdr:rowOff>106680</xdr:rowOff>
    </xdr:from>
    <xdr:to>
      <xdr:col>10</xdr:col>
      <xdr:colOff>510540</xdr:colOff>
      <xdr:row>3</xdr:row>
      <xdr:rowOff>68580</xdr:rowOff>
    </xdr:to>
    <xdr:pic>
      <xdr:nvPicPr>
        <xdr:cNvPr id="15" name="Graphic 14" descr="Newspaper with solid fill">
          <a:extLst>
            <a:ext uri="{FF2B5EF4-FFF2-40B4-BE49-F238E27FC236}">
              <a16:creationId xmlns:a16="http://schemas.microsoft.com/office/drawing/2014/main" id="{BF448637-B62F-8E08-1210-B6DFA0CB1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875020" y="487680"/>
          <a:ext cx="335280" cy="335280"/>
        </a:xfrm>
        <a:prstGeom prst="rect">
          <a:avLst/>
        </a:prstGeom>
      </xdr:spPr>
    </xdr:pic>
    <xdr:clientData/>
  </xdr:twoCellAnchor>
  <xdr:twoCellAnchor>
    <xdr:from>
      <xdr:col>11</xdr:col>
      <xdr:colOff>175260</xdr:colOff>
      <xdr:row>4</xdr:row>
      <xdr:rowOff>30480</xdr:rowOff>
    </xdr:from>
    <xdr:to>
      <xdr:col>15</xdr:col>
      <xdr:colOff>556260</xdr:colOff>
      <xdr:row>14</xdr:row>
      <xdr:rowOff>137160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B5AC568-BBE9-4D6A-A5F1-F61A64A97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83820</xdr:rowOff>
    </xdr:from>
    <xdr:to>
      <xdr:col>5</xdr:col>
      <xdr:colOff>601980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BE830-3143-6D87-CE6E-0E7291E89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228600</xdr:colOff>
      <xdr:row>0</xdr:row>
      <xdr:rowOff>15240</xdr:rowOff>
    </xdr:from>
    <xdr:to>
      <xdr:col>4</xdr:col>
      <xdr:colOff>579120</xdr:colOff>
      <xdr:row>0</xdr:row>
      <xdr:rowOff>365760</xdr:rowOff>
    </xdr:to>
    <xdr:pic>
      <xdr:nvPicPr>
        <xdr:cNvPr id="8" name="Graphic 7" descr="Shopping cart with solid fill">
          <a:extLst>
            <a:ext uri="{FF2B5EF4-FFF2-40B4-BE49-F238E27FC236}">
              <a16:creationId xmlns:a16="http://schemas.microsoft.com/office/drawing/2014/main" id="{F1CA731D-F3AB-9FE6-866A-D8503B18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63140" y="15240"/>
          <a:ext cx="350520" cy="350520"/>
        </a:xfrm>
        <a:prstGeom prst="rect">
          <a:avLst/>
        </a:prstGeom>
      </xdr:spPr>
    </xdr:pic>
    <xdr:clientData/>
  </xdr:twoCellAnchor>
  <xdr:twoCellAnchor>
    <xdr:from>
      <xdr:col>6</xdr:col>
      <xdr:colOff>7620</xdr:colOff>
      <xdr:row>1</xdr:row>
      <xdr:rowOff>83820</xdr:rowOff>
    </xdr:from>
    <xdr:to>
      <xdr:col>10</xdr:col>
      <xdr:colOff>586740</xdr:colOff>
      <xdr:row>12</xdr:row>
      <xdr:rowOff>22860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D88E80-A3BF-49D8-B2E5-1DA7321044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1360" y="464820"/>
              <a:ext cx="3017520" cy="19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594360</xdr:colOff>
      <xdr:row>1</xdr:row>
      <xdr:rowOff>76200</xdr:rowOff>
    </xdr:from>
    <xdr:to>
      <xdr:col>15</xdr:col>
      <xdr:colOff>586740</xdr:colOff>
      <xdr:row>12</xdr:row>
      <xdr:rowOff>30480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0EC836F-78B2-47F1-965A-2EB25619DC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457200"/>
              <a:ext cx="3040380" cy="196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228600</xdr:colOff>
      <xdr:row>12</xdr:row>
      <xdr:rowOff>114300</xdr:rowOff>
    </xdr:from>
    <xdr:to>
      <xdr:col>15</xdr:col>
      <xdr:colOff>571500</xdr:colOff>
      <xdr:row>24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93B66D2-0C7F-4286-9531-9A6614CFA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0</xdr:rowOff>
        </xdr:from>
        <xdr:to>
          <xdr:col>11</xdr:col>
          <xdr:colOff>173045</xdr:colOff>
          <xdr:row>24</xdr:row>
          <xdr:rowOff>30480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65FA6F3C-C48D-26B1-BF04-C84115DB66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op_customers!$A$1:$E$12" spid="_x0000_s14437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320040" y="2575560"/>
              <a:ext cx="6154745" cy="20421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22860</xdr:rowOff>
    </xdr:from>
    <xdr:to>
      <xdr:col>4</xdr:col>
      <xdr:colOff>579120</xdr:colOff>
      <xdr:row>0</xdr:row>
      <xdr:rowOff>373380</xdr:rowOff>
    </xdr:to>
    <xdr:pic>
      <xdr:nvPicPr>
        <xdr:cNvPr id="2" name="Graphic 1" descr="Shopping cart with solid fill">
          <a:extLst>
            <a:ext uri="{FF2B5EF4-FFF2-40B4-BE49-F238E27FC236}">
              <a16:creationId xmlns:a16="http://schemas.microsoft.com/office/drawing/2014/main" id="{46D0DEE8-B134-4306-B0D7-A746ECF4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5520" y="22860"/>
          <a:ext cx="350520" cy="35052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0</xdr:row>
      <xdr:rowOff>373380</xdr:rowOff>
    </xdr:from>
    <xdr:to>
      <xdr:col>8</xdr:col>
      <xdr:colOff>281940</xdr:colOff>
      <xdr:row>12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E3C56-8A3B-4533-9E8F-1DC9AEA67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266700</xdr:colOff>
      <xdr:row>1</xdr:row>
      <xdr:rowOff>0</xdr:rowOff>
    </xdr:from>
    <xdr:to>
      <xdr:col>15</xdr:col>
      <xdr:colOff>601980</xdr:colOff>
      <xdr:row>17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7896097-9497-423B-B2CC-0BD279816E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381000"/>
              <a:ext cx="4602480" cy="2979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15240</xdr:colOff>
      <xdr:row>12</xdr:row>
      <xdr:rowOff>15240</xdr:rowOff>
    </xdr:from>
    <xdr:to>
      <xdr:col>8</xdr:col>
      <xdr:colOff>259080</xdr:colOff>
      <xdr:row>24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D788BA-5485-48E6-A646-49A505C82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335280</xdr:colOff>
          <xdr:row>17</xdr:row>
          <xdr:rowOff>81781</xdr:rowOff>
        </xdr:from>
        <xdr:to>
          <xdr:col>15</xdr:col>
          <xdr:colOff>533400</xdr:colOff>
          <xdr:row>24</xdr:row>
          <xdr:rowOff>83671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4A52E538-DD52-33F7-A356-C1925BDDA00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ubcategory_performance!$A$20:$C$24" spid="_x0000_s1542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4800600" y="3388861"/>
              <a:ext cx="4465320" cy="12820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33285-3084-4A30-AF53-F3ABE944D4D5}" autoFormatId="16" applyNumberFormats="0" applyBorderFormats="0" applyFontFormats="0" applyPatternFormats="0" applyAlignmentFormats="0" applyWidthHeightFormats="0">
  <queryTableRefresh nextId="6">
    <queryTableFields count="5">
      <queryTableField id="1" name="total_sales" tableColumnId="1"/>
      <queryTableField id="2" name="total_profit" tableColumnId="2"/>
      <queryTableField id="3" name="profit_margin_pct" tableColumnId="3"/>
      <queryTableField id="4" name="total_orders" tableColumnId="4"/>
      <queryTableField id="5" name="total_customer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9609B6B-75BE-4A1E-9EE6-18B54FD3DA79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yearly_sales" tableColumnId="2"/>
      <queryTableField id="3" name="yearly_profit" tableColumnId="3"/>
      <queryTableField id="4" name="previous_year_sales" tableColumnId="4"/>
      <queryTableField id="5" name="sales_growth_p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47CDE2-4A80-4551-A553-A452379856B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year" tableColumnId="1"/>
      <queryTableField id="2" name="month_name" tableColumnId="2"/>
      <queryTableField id="3" name="month_date" tableColumnId="3"/>
      <queryTableField id="4" name="monthly_revenue" tableColumnId="4"/>
      <queryTableField id="5" name="previous_month_revenue" tableColumnId="5"/>
      <queryTableField id="6" name="sales_growth_pct" tableColumnId="6"/>
      <queryTableField id="7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CB36B1A-D999-435E-AE4C-A781229ACCBD}" autoFormatId="16" applyNumberFormats="0" applyBorderFormats="0" applyFontFormats="0" applyPatternFormats="0" applyAlignmentFormats="0" applyWidthHeightFormats="0">
  <queryTableRefresh nextId="6">
    <queryTableFields count="5">
      <queryTableField id="1" name="ship_mode" tableColumnId="1"/>
      <queryTableField id="2" name="total_orders" tableColumnId="2"/>
      <queryTableField id="3" name="total_sales" tableColumnId="3"/>
      <queryTableField id="4" name="total_profit" tableColumnId="4"/>
      <queryTableField id="5" name="avg_days_to_ship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4026C5A-B668-4A5D-BACF-D60C22DB5C64}" autoFormatId="16" applyNumberFormats="0" applyBorderFormats="0" applyFontFormats="0" applyPatternFormats="0" applyAlignmentFormats="0" applyWidthHeightFormats="0">
  <queryTableRefresh nextId="7">
    <queryTableFields count="6">
      <queryTableField id="1" name="region" tableColumnId="1"/>
      <queryTableField id="2" name="total_orders" tableColumnId="2"/>
      <queryTableField id="3" name="total_sales" tableColumnId="3"/>
      <queryTableField id="4" name="total_profit" tableColumnId="4"/>
      <queryTableField id="5" name="profit_margin_pct" tableColumnId="5"/>
      <queryTableField id="6" name="avg_order_valu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4C434B6-E7A4-4810-B3B9-6B571A990518}" autoFormatId="16" applyNumberFormats="0" applyBorderFormats="0" applyFontFormats="0" applyPatternFormats="0" applyAlignmentFormats="0" applyWidthHeightFormats="0">
  <queryTableRefresh nextId="8">
    <queryTableFields count="6">
      <queryTableField id="1" name="country_region" tableColumnId="1"/>
      <queryTableField id="2" name="state_province" tableColumnId="2"/>
      <queryTableField id="3" name="total_orders" tableColumnId="3"/>
      <queryTableField id="4" name="total_sales" tableColumnId="4"/>
      <queryTableField id="5" name="total_profit" tableColumnId="5"/>
      <queryTableField id="6" name="rank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887A1FD8-5D3C-473A-995D-60175D640EC5}" autoFormatId="16" applyNumberFormats="0" applyBorderFormats="0" applyFontFormats="0" applyPatternFormats="0" applyAlignmentFormats="0" applyWidthHeightFormats="0">
  <queryTableRefresh nextId="6">
    <queryTableFields count="5">
      <queryTableField id="1" name="customer_name" tableColumnId="1"/>
      <queryTableField id="2" name="total_orders" tableColumnId="2"/>
      <queryTableField id="3" name="total_sales" tableColumnId="3"/>
      <queryTableField id="4" name="total_profit" tableColumnId="4"/>
      <queryTableField id="5" name="avg_order_valu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D0208D8-2422-4A27-BF6B-CAD656D82AD8}" autoFormatId="16" applyNumberFormats="0" applyBorderFormats="0" applyFontFormats="0" applyPatternFormats="0" applyAlignmentFormats="0" applyWidthHeightFormats="0">
  <queryTableRefresh nextId="8">
    <queryTableFields count="7">
      <queryTableField id="1" name="segment" tableColumnId="1"/>
      <queryTableField id="2" name="total_customers" tableColumnId="2"/>
      <queryTableField id="3" name="total_orders" tableColumnId="3"/>
      <queryTableField id="4" name="total_sales" tableColumnId="4"/>
      <queryTableField id="5" name="total_profit" tableColumnId="5"/>
      <queryTableField id="6" name="profit_margin_pct" tableColumnId="6"/>
      <queryTableField id="7" name="avg_order_value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9CA3BC2-537E-4AE8-B7B7-B0B3D0B9A70B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sales" tableColumnId="2"/>
      <queryTableField id="3" name="total_profit" tableColumnId="3"/>
      <queryTableField id="4" name="profit_margin_pc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56B022B-24A6-4089-9F6B-F079E63AA63D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sub_category" tableColumnId="2"/>
      <queryTableField id="3" name="total_sales" tableColumnId="3"/>
      <queryTableField id="4" name="total_profit" tableColumnId="4"/>
      <queryTableField id="5" name="rank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B4196C-17E8-4D24-8F39-9F3579FCEB53}" autoFormatId="16" applyNumberFormats="0" applyBorderFormats="0" applyFontFormats="0" applyPatternFormats="0" applyAlignmentFormats="0" applyWidthHeightFormats="0">
  <queryTableRefresh nextId="7">
    <queryTableFields count="6">
      <queryTableField id="1" name="discount_band" tableColumnId="1"/>
      <queryTableField id="2" name="sort_order" tableColumnId="2"/>
      <queryTableField id="3" name="total_rows" tableColumnId="3"/>
      <queryTableField id="4" name="total_sales" tableColumnId="4"/>
      <queryTableField id="5" name="total_profit" tableColumnId="5"/>
      <queryTableField id="6" name="average_profi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E31FB-8DA2-4577-B98B-90EDAC56F899}" name="business_kpi" displayName="business_kpi" ref="A1:E2" tableType="queryTable" totalsRowShown="0" headerRowDxfId="56" dataDxfId="55">
  <autoFilter ref="A1:E2" xr:uid="{F4EE31FB-8DA2-4577-B98B-90EDAC56F899}"/>
  <tableColumns count="5">
    <tableColumn id="1" xr3:uid="{E8980300-6738-45F1-9BCE-A3E43F243F67}" uniqueName="1" name="total_sales" queryTableFieldId="1" dataDxfId="54"/>
    <tableColumn id="2" xr3:uid="{BFD19536-9146-4497-8EBA-34F5BBDB32EF}" uniqueName="2" name="total_profit" queryTableFieldId="2" dataDxfId="53"/>
    <tableColumn id="3" xr3:uid="{B0AE11F7-88B3-4078-94A6-27BBE167F2F9}" uniqueName="3" name="profit_margin_pct" queryTableFieldId="3" dataDxfId="52"/>
    <tableColumn id="4" xr3:uid="{CF7A0725-1197-444A-9A45-F905258E7FA9}" uniqueName="4" name="total_orders" queryTableFieldId="4" dataDxfId="51"/>
    <tableColumn id="5" xr3:uid="{E79A2F39-37C7-4C3E-B5CC-F49BE8F97902}" uniqueName="5" name="total_customers" queryTableFieldId="5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EE19E-60D6-4534-9562-14F91E2408B4}" name="yearly_trend" displayName="yearly_trend" ref="A1:E4" tableType="queryTable" totalsRowShown="0" headerRowDxfId="49" dataDxfId="48">
  <autoFilter ref="A1:E4" xr:uid="{EC9EE19E-60D6-4534-9562-14F91E2408B4}"/>
  <tableColumns count="5">
    <tableColumn id="1" xr3:uid="{9B993A57-A176-4748-80AD-7554B79E94DC}" uniqueName="1" name="year" queryTableFieldId="1" dataDxfId="47"/>
    <tableColumn id="2" xr3:uid="{DB160DC7-9D32-4EE7-AC76-D7CEC9C77BBD}" uniqueName="2" name="yearly_sales" queryTableFieldId="2" dataDxfId="46"/>
    <tableColumn id="3" xr3:uid="{FF7F1588-049A-499D-B1BD-8B0EE222DA98}" uniqueName="3" name="yearly_profit" queryTableFieldId="3" dataDxfId="45"/>
    <tableColumn id="4" xr3:uid="{5FC7514E-2E00-47F8-A4D5-21F542948636}" uniqueName="4" name="previous_year_sales" queryTableFieldId="4" dataDxfId="44"/>
    <tableColumn id="5" xr3:uid="{F30CDE57-0F67-4898-83E6-9A05BEFC71AE}" uniqueName="5" name="sales_growth_pct" queryTableFieldId="5" dataDxfId="43" dataCellStyle="Perce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EE038E-D460-482F-921B-0D5942103D2E}" name="monthly_trend" displayName="monthly_trend" ref="A1:G1048576" tableType="queryTable" totalsRowShown="0">
  <autoFilter ref="A1:G1048576" xr:uid="{72EE038E-D460-482F-921B-0D5942103D2E}"/>
  <tableColumns count="7">
    <tableColumn id="1" xr3:uid="{F5CC565E-0103-4E43-967B-EA22F6090A54}" uniqueName="1" name="year" queryTableFieldId="1"/>
    <tableColumn id="2" xr3:uid="{CB9E1238-C80F-4A51-98F6-68A0AD3D77B8}" uniqueName="2" name="month_name" queryTableFieldId="2" dataDxfId="42"/>
    <tableColumn id="3" xr3:uid="{4AEABB1D-C690-4F39-87F7-A8454CDE5DE0}" uniqueName="3" name="month_date" queryTableFieldId="3" dataDxfId="41"/>
    <tableColumn id="4" xr3:uid="{7AC33F9C-6BA9-4CD1-B99F-E4482E12924E}" uniqueName="4" name="monthly_revenue" queryTableFieldId="4" dataDxfId="40"/>
    <tableColumn id="5" xr3:uid="{BCC39B5C-8E98-44F1-800E-03986F4C2E0E}" uniqueName="5" name="previous_month_revenue" queryTableFieldId="5" dataDxfId="39"/>
    <tableColumn id="6" xr3:uid="{CDEF19D4-CDF5-4A8D-95C3-118655407638}" uniqueName="6" name="sales_growth_pct" queryTableFieldId="6" dataDxfId="38"/>
    <tableColumn id="8" xr3:uid="{EFF9FFB8-D099-407C-BCF9-35F7F9FF9D0E}" uniqueName="8" name="month_year" queryTableFieldId="7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7B0445-DD7F-41DC-9B82-4286FA47985F}" name="sales_by_shipmode" displayName="sales_by_shipmode" ref="A1:E5" tableType="queryTable" totalsRowShown="0">
  <autoFilter ref="A1:E5" xr:uid="{7C7B0445-DD7F-41DC-9B82-4286FA47985F}"/>
  <tableColumns count="5">
    <tableColumn id="1" xr3:uid="{95F43063-4246-4666-84F7-B89B8B01A247}" uniqueName="1" name="ship_mode" queryTableFieldId="1" dataDxfId="36"/>
    <tableColumn id="2" xr3:uid="{0358F701-2950-4AF5-9574-935CF6574715}" uniqueName="2" name="total_orders" queryTableFieldId="2"/>
    <tableColumn id="3" xr3:uid="{A1066213-A27A-461F-A182-CF6038F36F83}" uniqueName="3" name="total_sales" queryTableFieldId="3" dataDxfId="35"/>
    <tableColumn id="4" xr3:uid="{723E6AB1-E81A-4066-BDD8-3B5E05431302}" uniqueName="4" name="total_profit" queryTableFieldId="4" dataDxfId="34"/>
    <tableColumn id="5" xr3:uid="{CA3A1B08-264E-4925-A03D-92C536115C8E}" uniqueName="5" name="avg_days_to_ship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0E481A-FF47-4BDB-9991-F37333C01CE6}" name="sales_by_region" displayName="sales_by_region" ref="A1:F5" tableType="queryTable" totalsRowShown="0">
  <autoFilter ref="A1:F5" xr:uid="{A70E481A-FF47-4BDB-9991-F37333C01CE6}"/>
  <tableColumns count="6">
    <tableColumn id="1" xr3:uid="{FEEC1587-66C3-49A8-80DF-5708B14BCE99}" uniqueName="1" name="region" queryTableFieldId="1" dataDxfId="33"/>
    <tableColumn id="2" xr3:uid="{F5E82ED6-AF9B-452D-8131-60775F7D74EE}" uniqueName="2" name="total_orders" queryTableFieldId="2"/>
    <tableColumn id="3" xr3:uid="{ECEF8825-4B34-425B-A485-BD99C7E55D81}" uniqueName="3" name="total_sales" queryTableFieldId="3" dataDxfId="32"/>
    <tableColumn id="4" xr3:uid="{D275554B-DC99-41BC-B4C9-A1D0612B6821}" uniqueName="4" name="total_profit" queryTableFieldId="4" dataDxfId="31"/>
    <tableColumn id="5" xr3:uid="{210821F6-E412-48A8-B40B-B8CC3CCB8C92}" uniqueName="5" name="profit_margin_pct" queryTableFieldId="5" dataDxfId="30"/>
    <tableColumn id="6" xr3:uid="{0F8F2D22-6EA8-4D93-9536-751DDD38DDF5}" uniqueName="6" name="avg_order_value" queryTableFieldId="6" dataDxfId="2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768326-0D74-4309-85DE-5B6EDFD15707}" name="top_states" displayName="top_states" ref="A1:F21" tableType="queryTable" totalsRowShown="0">
  <autoFilter ref="A1:F21" xr:uid="{ED768326-0D74-4309-85DE-5B6EDFD15707}"/>
  <tableColumns count="6">
    <tableColumn id="1" xr3:uid="{EC05DE92-705E-4F67-A328-039CA7FFFF31}" uniqueName="1" name="country_region" queryTableFieldId="1" dataDxfId="28"/>
    <tableColumn id="2" xr3:uid="{2C1A43F9-D7CF-4D8E-A82E-9B4ADB7FA33A}" uniqueName="2" name="state_province" queryTableFieldId="2" dataDxfId="27"/>
    <tableColumn id="3" xr3:uid="{11BAFD0A-B41C-4939-9D45-A18EBD457673}" uniqueName="3" name="total_orders" queryTableFieldId="3"/>
    <tableColumn id="4" xr3:uid="{C1407B7F-DDDD-4672-8A0C-9241AF7106A0}" uniqueName="4" name="total_sales" queryTableFieldId="4" dataDxfId="26"/>
    <tableColumn id="5" xr3:uid="{CD7D63FF-A631-48E8-A92F-DE0C55BB5BAE}" uniqueName="5" name="total_profit" queryTableFieldId="5" dataDxfId="25"/>
    <tableColumn id="6" xr3:uid="{E9528E21-D9DE-4632-A834-3126DED6F3A6}" uniqueName="6" name="rank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B7A0A5-316A-4231-9E52-15D9210714DF}" name="top_customers" displayName="top_customers" ref="A2:E12" tableType="queryTable" totalsRowShown="0" headerRowDxfId="24" dataDxfId="22" headerRowBorderDxfId="23">
  <tableColumns count="5">
    <tableColumn id="1" xr3:uid="{A1AD86E5-5832-4E26-8369-A0EE829CB320}" uniqueName="1" name="Customer Name" queryTableFieldId="1" dataDxfId="21"/>
    <tableColumn id="2" xr3:uid="{B091F6C4-CEF9-48F1-AF31-7861B0BC7693}" uniqueName="2" name="Total Orders" queryTableFieldId="2" dataDxfId="20"/>
    <tableColumn id="3" xr3:uid="{D25EC16A-C4A3-4BD8-B505-6618C3500829}" uniqueName="3" name="Total Sales" queryTableFieldId="3" dataDxfId="19"/>
    <tableColumn id="4" xr3:uid="{68696187-615B-4645-9055-2063D32F2613}" uniqueName="4" name="Total Profit" queryTableFieldId="4" dataDxfId="18"/>
    <tableColumn id="5" xr3:uid="{18F3D109-9A4B-4341-AD18-D8518FA48F8F}" uniqueName="5" name="Average Order Value" queryTableFieldId="5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E5D002-1166-4460-B4D6-2CDE22EC6D46}" name="sales_by_customer_segment" displayName="sales_by_customer_segment" ref="A1:G4" tableType="queryTable" totalsRowShown="0">
  <autoFilter ref="A1:G4" xr:uid="{ACE5D002-1166-4460-B4D6-2CDE22EC6D46}"/>
  <tableColumns count="7">
    <tableColumn id="1" xr3:uid="{76A6AC9E-10D3-4BA1-8B57-713850105398}" uniqueName="1" name="segment" queryTableFieldId="1" dataDxfId="16"/>
    <tableColumn id="2" xr3:uid="{5167B0EC-10CD-4443-A83A-493ADA97049F}" uniqueName="2" name="total_customers" queryTableFieldId="2"/>
    <tableColumn id="3" xr3:uid="{85EAEFCF-B381-49CE-8011-D9F5309CD0BF}" uniqueName="3" name="total_orders" queryTableFieldId="3"/>
    <tableColumn id="4" xr3:uid="{6ABF17FE-9381-4C21-88D7-8CC6AEC01EC7}" uniqueName="4" name="total_sales" queryTableFieldId="4" dataDxfId="15"/>
    <tableColumn id="5" xr3:uid="{8DF59471-4844-4AE3-BECD-B930B3AF8D82}" uniqueName="5" name="total_profit" queryTableFieldId="5" dataDxfId="14"/>
    <tableColumn id="6" xr3:uid="{2A81593A-2320-4275-A1A8-0E0546216EDE}" uniqueName="6" name="profit_margin_pct" queryTableFieldId="6" dataDxfId="13"/>
    <tableColumn id="7" xr3:uid="{CD470EB4-97B5-4F1D-B4D4-E7CC7ED62950}" uniqueName="7" name="avg_order_value" queryTableFieldId="7" dataDxf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4FC330-A751-40B3-8CAE-D1568425B993}" name="sales_by_category" displayName="sales_by_category" ref="A1:D4" tableType="queryTable" totalsRowShown="0">
  <autoFilter ref="A1:D4" xr:uid="{1A4FC330-A751-40B3-8CAE-D1568425B993}"/>
  <tableColumns count="4">
    <tableColumn id="1" xr3:uid="{10A5C29C-F364-4943-A3F3-31C29D5616DD}" uniqueName="1" name="category" queryTableFieldId="1" dataDxfId="11"/>
    <tableColumn id="2" xr3:uid="{E403751F-9F66-4B38-ABE3-89E183BEC3C4}" uniqueName="2" name="total_sales" queryTableFieldId="2" dataDxfId="10"/>
    <tableColumn id="3" xr3:uid="{44D78EA5-0D66-4C2B-B3CE-FFE96D740F0D}" uniqueName="3" name="total_profit" queryTableFieldId="3" dataDxfId="9"/>
    <tableColumn id="4" xr3:uid="{118C7073-B1F2-41AE-8112-B05132D5710E}" uniqueName="4" name="profit_margin_pct" queryTableFieldId="4" dataDxf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D0AA97-A797-48EE-8985-EA6D4909ABFE}" name="subcategory_performance" displayName="subcategory_performance" ref="A1:E18" tableType="queryTable" totalsRowShown="0">
  <autoFilter ref="A1:E18" xr:uid="{86D0AA97-A797-48EE-8985-EA6D4909ABFE}"/>
  <tableColumns count="5">
    <tableColumn id="1" xr3:uid="{2108848D-8E9A-4EEB-A3DD-5468F284CD21}" uniqueName="1" name="category" queryTableFieldId="1" dataDxfId="7"/>
    <tableColumn id="2" xr3:uid="{F334EF15-3F6F-4765-8CEC-17F200C556B1}" uniqueName="2" name="sub_category" queryTableFieldId="2" dataDxfId="6"/>
    <tableColumn id="3" xr3:uid="{18BC9C91-6C60-4BBB-AA8D-B98F12E0B4E1}" uniqueName="3" name="total_sales" queryTableFieldId="3" dataDxfId="5"/>
    <tableColumn id="4" xr3:uid="{37EDECD3-091E-44F5-9210-3EF0D51C9CFA}" uniqueName="4" name="total_profit" queryTableFieldId="4" dataDxfId="4"/>
    <tableColumn id="5" xr3:uid="{9A44B6F3-53D2-4CCE-B2A1-FB68B04EA038}" uniqueName="5" name="rank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309C61-3F14-4A7D-AC0C-8BA14E05320E}" name="discount_impact" displayName="discount_impact" ref="A1:F8" tableType="queryTable" totalsRowShown="0">
  <autoFilter ref="A1:F8" xr:uid="{B8309C61-3F14-4A7D-AC0C-8BA14E05320E}"/>
  <tableColumns count="6">
    <tableColumn id="1" xr3:uid="{0A0C6352-CB60-41D9-BB9D-B7C49E5C1BB9}" uniqueName="1" name="discount_band" queryTableFieldId="1" dataDxfId="3"/>
    <tableColumn id="2" xr3:uid="{C60206A8-EC5E-421F-8C6F-74094114CC8D}" uniqueName="2" name="sort_order" queryTableFieldId="2"/>
    <tableColumn id="3" xr3:uid="{6C7FE9B4-9933-4BF1-966F-D66E37A3759E}" uniqueName="3" name="total_rows" queryTableFieldId="3"/>
    <tableColumn id="4" xr3:uid="{5A7768F2-D06F-4592-9162-B62B32A934BC}" uniqueName="4" name="total_sales" queryTableFieldId="4" dataDxfId="2"/>
    <tableColumn id="5" xr3:uid="{37A73C9E-F950-4906-AB21-EF2A98B436D1}" uniqueName="5" name="total_profit" queryTableFieldId="5" dataDxfId="1"/>
    <tableColumn id="6" xr3:uid="{F8D01D77-6698-4FF2-BE61-15F7090A2562}" uniqueName="6" name="average_profi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7FB5-1C7B-433E-9718-403535F51AC3}">
  <sheetPr>
    <tabColor rgb="FF2E75B6"/>
    <pageSetUpPr autoPageBreaks="0"/>
  </sheetPr>
  <dimension ref="B1:P25"/>
  <sheetViews>
    <sheetView showGridLines="0" zoomScaleNormal="100" workbookViewId="0">
      <selection activeCell="S20" sqref="S20"/>
    </sheetView>
  </sheetViews>
  <sheetFormatPr defaultRowHeight="14.4" x14ac:dyDescent="0.3"/>
  <cols>
    <col min="1" max="1" width="3.109375" style="1" customWidth="1"/>
    <col min="2" max="3" width="8.88671875" style="1"/>
    <col min="4" max="4" width="8.88671875" style="1" customWidth="1"/>
    <col min="5" max="16" width="8.88671875" style="1"/>
    <col min="17" max="17" width="2.6640625" style="1" customWidth="1"/>
    <col min="18" max="16384" width="8.88671875" style="1"/>
  </cols>
  <sheetData>
    <row r="1" spans="2:16" ht="30" customHeight="1" thickBot="1" x14ac:dyDescent="0.35">
      <c r="B1" s="42" t="s">
        <v>221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2:16" ht="15" thickTop="1" x14ac:dyDescent="0.3">
      <c r="B2" s="62">
        <f>'Business KPI'!A2</f>
        <v>1580967.08</v>
      </c>
      <c r="C2" s="63"/>
      <c r="D2" s="63"/>
      <c r="E2" s="66">
        <f>'Business KPI'!B2</f>
        <v>196370.72</v>
      </c>
      <c r="F2" s="67"/>
      <c r="G2" s="67"/>
      <c r="H2" s="43">
        <f>'Business KPI'!C2</f>
        <v>12.42</v>
      </c>
      <c r="I2" s="44"/>
      <c r="J2" s="44"/>
      <c r="K2" s="47">
        <f>'Business KPI'!D2</f>
        <v>3388</v>
      </c>
      <c r="L2" s="48"/>
      <c r="M2" s="48"/>
      <c r="N2" s="47">
        <f>'Business KPI'!E2</f>
        <v>793</v>
      </c>
      <c r="O2" s="48"/>
      <c r="P2" s="51"/>
    </row>
    <row r="3" spans="2:16" x14ac:dyDescent="0.3">
      <c r="B3" s="64"/>
      <c r="C3" s="65"/>
      <c r="D3" s="65"/>
      <c r="E3" s="68"/>
      <c r="F3" s="69"/>
      <c r="G3" s="69"/>
      <c r="H3" s="45"/>
      <c r="I3" s="46"/>
      <c r="J3" s="46"/>
      <c r="K3" s="49"/>
      <c r="L3" s="50"/>
      <c r="M3" s="50"/>
      <c r="N3" s="49"/>
      <c r="O3" s="50"/>
      <c r="P3" s="52"/>
    </row>
    <row r="4" spans="2:16" ht="15" thickBot="1" x14ac:dyDescent="0.35">
      <c r="B4" s="53" t="s">
        <v>222</v>
      </c>
      <c r="C4" s="54"/>
      <c r="D4" s="54"/>
      <c r="E4" s="53" t="s">
        <v>223</v>
      </c>
      <c r="F4" s="54"/>
      <c r="G4" s="54"/>
      <c r="H4" s="53" t="s">
        <v>227</v>
      </c>
      <c r="I4" s="54"/>
      <c r="J4" s="54"/>
      <c r="K4" s="53" t="s">
        <v>224</v>
      </c>
      <c r="L4" s="54"/>
      <c r="M4" s="54"/>
      <c r="N4" s="53" t="s">
        <v>225</v>
      </c>
      <c r="O4" s="54"/>
      <c r="P4" s="55"/>
    </row>
    <row r="5" spans="2:16" ht="15" thickTop="1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mergeCells count="11">
    <mergeCell ref="B4:D4"/>
    <mergeCell ref="E4:G4"/>
    <mergeCell ref="H4:J4"/>
    <mergeCell ref="K4:M4"/>
    <mergeCell ref="N4:P4"/>
    <mergeCell ref="B1:P1"/>
    <mergeCell ref="B2:D3"/>
    <mergeCell ref="E2:G3"/>
    <mergeCell ref="H2:J3"/>
    <mergeCell ref="K2:M3"/>
    <mergeCell ref="N2:P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1F30-4ACC-4B5C-B5F8-80339855CA81}">
  <sheetPr>
    <tabColor rgb="FF2E75B6"/>
    <pageSetUpPr autoPageBreaks="0"/>
  </sheetPr>
  <dimension ref="B1:P25"/>
  <sheetViews>
    <sheetView showGridLines="0" workbookViewId="0">
      <selection activeCell="S7" sqref="S7"/>
    </sheetView>
  </sheetViews>
  <sheetFormatPr defaultRowHeight="14.4" x14ac:dyDescent="0.3"/>
  <cols>
    <col min="1" max="1" width="3" style="1" customWidth="1"/>
    <col min="2" max="2" width="8.88671875" style="1" customWidth="1"/>
    <col min="3" max="16" width="8.88671875" style="1"/>
    <col min="17" max="17" width="2.88671875" style="1" customWidth="1"/>
    <col min="18" max="16384" width="8.88671875" style="1"/>
  </cols>
  <sheetData>
    <row r="1" spans="2:16" ht="30" customHeight="1" x14ac:dyDescent="0.3">
      <c r="B1" s="42" t="s">
        <v>228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2:16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2:16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mergeCells count="1">
    <mergeCell ref="B1:P1"/>
  </mergeCells>
  <pageMargins left="0.7" right="0.7" top="0.75" bottom="0.75" header="0.3" footer="0.3"/>
  <pageSetup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E587-498B-4A6D-ABD2-81A2AD9CCE19}">
  <sheetPr>
    <tabColor rgb="FF2E75B6"/>
    <pageSetUpPr autoPageBreaks="0"/>
  </sheetPr>
  <dimension ref="B1:P25"/>
  <sheetViews>
    <sheetView showGridLines="0" tabSelected="1" workbookViewId="0">
      <selection activeCell="S15" sqref="S15"/>
    </sheetView>
  </sheetViews>
  <sheetFormatPr defaultRowHeight="14.4" x14ac:dyDescent="0.3"/>
  <cols>
    <col min="1" max="1" width="2.88671875" style="1" customWidth="1"/>
    <col min="2" max="16" width="8.88671875" style="1"/>
    <col min="17" max="17" width="2.6640625" style="1" customWidth="1"/>
    <col min="18" max="16384" width="8.88671875" style="1"/>
  </cols>
  <sheetData>
    <row r="1" spans="2:16" s="7" customFormat="1" ht="30" customHeight="1" x14ac:dyDescent="0.3">
      <c r="B1" s="42" t="s">
        <v>231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2:16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2:16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mergeCells count="1">
    <mergeCell ref="B1:P1"/>
  </mergeCells>
  <pageMargins left="0.7" right="0.7" top="0.75" bottom="0.75" header="0.3" footer="0.3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44C8-6C94-451D-A343-C0EBF0701EA8}">
  <dimension ref="A1:E2"/>
  <sheetViews>
    <sheetView workbookViewId="0">
      <selection activeCell="B28" sqref="B28"/>
    </sheetView>
  </sheetViews>
  <sheetFormatPr defaultRowHeight="14.4" x14ac:dyDescent="0.3"/>
  <cols>
    <col min="1" max="1" width="12.44140625" style="36" bestFit="1" customWidth="1"/>
    <col min="2" max="2" width="12.77734375" style="36" bestFit="1" customWidth="1"/>
    <col min="3" max="3" width="18.5546875" style="37" bestFit="1" customWidth="1"/>
    <col min="4" max="4" width="13.44140625" style="38" bestFit="1" customWidth="1"/>
    <col min="5" max="5" width="16.88671875" style="38" bestFit="1" customWidth="1"/>
  </cols>
  <sheetData>
    <row r="1" spans="1:5" x14ac:dyDescent="0.3">
      <c r="A1" s="36" t="s">
        <v>0</v>
      </c>
      <c r="B1" s="36" t="s">
        <v>1</v>
      </c>
      <c r="C1" s="37" t="s">
        <v>2</v>
      </c>
      <c r="D1" s="38" t="s">
        <v>3</v>
      </c>
      <c r="E1" s="38" t="s">
        <v>4</v>
      </c>
    </row>
    <row r="2" spans="1:5" x14ac:dyDescent="0.3">
      <c r="A2" s="36">
        <v>1580967.08</v>
      </c>
      <c r="B2" s="36">
        <v>196370.72</v>
      </c>
      <c r="C2" s="37">
        <v>12.42</v>
      </c>
      <c r="D2" s="38">
        <v>3388</v>
      </c>
      <c r="E2" s="38">
        <v>793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B89F-3A6B-4E2A-88BA-92E177FA5BFF}">
  <dimension ref="A1:H4"/>
  <sheetViews>
    <sheetView workbookViewId="0">
      <selection activeCell="E3" sqref="E3"/>
    </sheetView>
  </sheetViews>
  <sheetFormatPr defaultRowHeight="14.4" x14ac:dyDescent="0.3"/>
  <cols>
    <col min="1" max="1" width="6.88671875" style="38" bestFit="1" customWidth="1"/>
    <col min="2" max="2" width="13.33203125" style="36" bestFit="1" customWidth="1"/>
    <col min="3" max="3" width="14" style="36" bestFit="1" customWidth="1"/>
    <col min="4" max="4" width="20.33203125" style="38" bestFit="1" customWidth="1"/>
    <col min="5" max="5" width="18" style="39" bestFit="1" customWidth="1"/>
    <col min="8" max="8" width="19.21875" style="5" customWidth="1"/>
  </cols>
  <sheetData>
    <row r="1" spans="1:8" x14ac:dyDescent="0.3">
      <c r="A1" s="38" t="s">
        <v>5</v>
      </c>
      <c r="B1" s="36" t="s">
        <v>6</v>
      </c>
      <c r="C1" s="36" t="s">
        <v>7</v>
      </c>
      <c r="D1" s="38" t="s">
        <v>8</v>
      </c>
      <c r="E1" s="39" t="s">
        <v>9</v>
      </c>
      <c r="G1" s="34" t="s">
        <v>5</v>
      </c>
      <c r="H1" s="35" t="s">
        <v>9</v>
      </c>
    </row>
    <row r="2" spans="1:8" x14ac:dyDescent="0.3">
      <c r="A2" s="38">
        <v>2023</v>
      </c>
      <c r="B2" s="36">
        <v>494040.27</v>
      </c>
      <c r="C2" s="36">
        <v>51684.38</v>
      </c>
      <c r="D2" s="38" t="s">
        <v>10</v>
      </c>
      <c r="E2" s="39" t="s">
        <v>10</v>
      </c>
      <c r="G2" s="32">
        <v>2024</v>
      </c>
      <c r="H2" s="33">
        <v>-4.26</v>
      </c>
    </row>
    <row r="3" spans="1:8" x14ac:dyDescent="0.3">
      <c r="A3" s="38">
        <v>2024</v>
      </c>
      <c r="B3" s="36">
        <v>472992.98</v>
      </c>
      <c r="C3" s="36">
        <v>62021.03</v>
      </c>
      <c r="D3" s="36" t="s">
        <v>11</v>
      </c>
      <c r="E3" s="39" t="s">
        <v>12</v>
      </c>
      <c r="G3" s="32">
        <v>2025</v>
      </c>
      <c r="H3" s="33">
        <v>29.8</v>
      </c>
    </row>
    <row r="4" spans="1:8" x14ac:dyDescent="0.3">
      <c r="A4" s="38">
        <v>2025</v>
      </c>
      <c r="B4" s="36">
        <v>613933.82999999996</v>
      </c>
      <c r="C4" s="36">
        <v>82665.31</v>
      </c>
      <c r="D4" s="36" t="s">
        <v>13</v>
      </c>
      <c r="E4" s="39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990A-F4EA-4F71-8259-88D59154CC46}">
  <dimension ref="A1:G37"/>
  <sheetViews>
    <sheetView workbookViewId="0">
      <selection activeCell="E17" sqref="E17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21.109375" style="2" bestFit="1" customWidth="1"/>
    <col min="4" max="4" width="18.33203125" style="4" bestFit="1" customWidth="1"/>
    <col min="5" max="5" width="25.33203125" style="4" bestFit="1" customWidth="1"/>
    <col min="6" max="6" width="18" style="5" bestFit="1" customWidth="1"/>
    <col min="7" max="7" width="20.33203125" style="3" customWidth="1"/>
  </cols>
  <sheetData>
    <row r="1" spans="1:7" x14ac:dyDescent="0.3">
      <c r="A1" t="s">
        <v>5</v>
      </c>
      <c r="B1" t="s">
        <v>15</v>
      </c>
      <c r="C1" s="2" t="s">
        <v>16</v>
      </c>
      <c r="D1" s="4" t="s">
        <v>17</v>
      </c>
      <c r="E1" s="4" t="s">
        <v>18</v>
      </c>
      <c r="F1" s="5" t="s">
        <v>9</v>
      </c>
      <c r="G1" s="3" t="s">
        <v>226</v>
      </c>
    </row>
    <row r="2" spans="1:7" x14ac:dyDescent="0.3">
      <c r="A2">
        <v>2023</v>
      </c>
      <c r="B2" t="s">
        <v>19</v>
      </c>
      <c r="C2" s="2" t="s">
        <v>20</v>
      </c>
      <c r="D2" s="4">
        <v>14518.06</v>
      </c>
      <c r="E2" s="4" t="s">
        <v>10</v>
      </c>
      <c r="F2" s="5" t="s">
        <v>10</v>
      </c>
      <c r="G2" s="3">
        <v>44927</v>
      </c>
    </row>
    <row r="3" spans="1:7" x14ac:dyDescent="0.3">
      <c r="A3">
        <v>2023</v>
      </c>
      <c r="B3" t="s">
        <v>21</v>
      </c>
      <c r="C3" s="2" t="s">
        <v>22</v>
      </c>
      <c r="D3" s="4">
        <v>4519.92</v>
      </c>
      <c r="E3" s="4" t="s">
        <v>23</v>
      </c>
      <c r="F3" s="5" t="s">
        <v>24</v>
      </c>
      <c r="G3" s="3">
        <v>44958</v>
      </c>
    </row>
    <row r="4" spans="1:7" x14ac:dyDescent="0.3">
      <c r="A4">
        <v>2023</v>
      </c>
      <c r="B4" t="s">
        <v>25</v>
      </c>
      <c r="C4" s="2" t="s">
        <v>26</v>
      </c>
      <c r="D4" s="4">
        <v>56933.94</v>
      </c>
      <c r="E4" s="4" t="s">
        <v>27</v>
      </c>
      <c r="F4" s="5" t="s">
        <v>28</v>
      </c>
      <c r="G4" s="3">
        <v>44986</v>
      </c>
    </row>
    <row r="5" spans="1:7" x14ac:dyDescent="0.3">
      <c r="A5">
        <v>2023</v>
      </c>
      <c r="B5" t="s">
        <v>29</v>
      </c>
      <c r="C5" s="2" t="s">
        <v>30</v>
      </c>
      <c r="D5" s="4">
        <v>28295.35</v>
      </c>
      <c r="E5" s="4" t="s">
        <v>31</v>
      </c>
      <c r="F5" s="5" t="s">
        <v>32</v>
      </c>
      <c r="G5" s="3">
        <v>45017</v>
      </c>
    </row>
    <row r="6" spans="1:7" x14ac:dyDescent="0.3">
      <c r="A6">
        <v>2023</v>
      </c>
      <c r="B6" t="s">
        <v>33</v>
      </c>
      <c r="C6" s="2" t="s">
        <v>34</v>
      </c>
      <c r="D6" s="4">
        <v>26319.759999999998</v>
      </c>
      <c r="E6" s="4" t="s">
        <v>35</v>
      </c>
      <c r="F6" s="5" t="s">
        <v>36</v>
      </c>
      <c r="G6" s="3">
        <v>45047</v>
      </c>
    </row>
    <row r="7" spans="1:7" x14ac:dyDescent="0.3">
      <c r="A7">
        <v>2023</v>
      </c>
      <c r="B7" t="s">
        <v>37</v>
      </c>
      <c r="C7" s="2" t="s">
        <v>38</v>
      </c>
      <c r="D7" s="4">
        <v>34669.49</v>
      </c>
      <c r="E7" s="4" t="s">
        <v>39</v>
      </c>
      <c r="F7" s="5" t="s">
        <v>40</v>
      </c>
      <c r="G7" s="3">
        <v>45078</v>
      </c>
    </row>
    <row r="8" spans="1:7" x14ac:dyDescent="0.3">
      <c r="A8">
        <v>2023</v>
      </c>
      <c r="B8" t="s">
        <v>41</v>
      </c>
      <c r="C8" s="2" t="s">
        <v>42</v>
      </c>
      <c r="D8" s="4">
        <v>33946.370000000003</v>
      </c>
      <c r="E8" s="4" t="s">
        <v>43</v>
      </c>
      <c r="F8" s="5" t="s">
        <v>44</v>
      </c>
      <c r="G8" s="3">
        <v>45108</v>
      </c>
    </row>
    <row r="9" spans="1:7" x14ac:dyDescent="0.3">
      <c r="A9">
        <v>2023</v>
      </c>
      <c r="B9" t="s">
        <v>45</v>
      </c>
      <c r="C9" s="2" t="s">
        <v>46</v>
      </c>
      <c r="D9" s="4">
        <v>28918.34</v>
      </c>
      <c r="E9" s="4" t="s">
        <v>47</v>
      </c>
      <c r="F9" s="5" t="s">
        <v>48</v>
      </c>
      <c r="G9" s="3">
        <v>45139</v>
      </c>
    </row>
    <row r="10" spans="1:7" x14ac:dyDescent="0.3">
      <c r="A10">
        <v>2023</v>
      </c>
      <c r="B10" t="s">
        <v>49</v>
      </c>
      <c r="C10" s="2" t="s">
        <v>50</v>
      </c>
      <c r="D10" s="4">
        <v>82670.42</v>
      </c>
      <c r="E10" s="4" t="s">
        <v>51</v>
      </c>
      <c r="F10" s="5" t="s">
        <v>52</v>
      </c>
      <c r="G10" s="3">
        <v>45170</v>
      </c>
    </row>
    <row r="11" spans="1:7" x14ac:dyDescent="0.3">
      <c r="A11">
        <v>2023</v>
      </c>
      <c r="B11" t="s">
        <v>53</v>
      </c>
      <c r="C11" s="2" t="s">
        <v>54</v>
      </c>
      <c r="D11" s="4">
        <v>32413.32</v>
      </c>
      <c r="E11" s="4" t="s">
        <v>55</v>
      </c>
      <c r="F11" s="5" t="s">
        <v>56</v>
      </c>
      <c r="G11" s="3">
        <v>45200</v>
      </c>
    </row>
    <row r="12" spans="1:7" x14ac:dyDescent="0.3">
      <c r="A12">
        <v>2023</v>
      </c>
      <c r="B12" t="s">
        <v>57</v>
      </c>
      <c r="C12" s="2" t="s">
        <v>58</v>
      </c>
      <c r="D12" s="4">
        <v>78826.98</v>
      </c>
      <c r="E12" s="4" t="s">
        <v>59</v>
      </c>
      <c r="F12" s="5" t="s">
        <v>60</v>
      </c>
      <c r="G12" s="3">
        <v>45231</v>
      </c>
    </row>
    <row r="13" spans="1:7" x14ac:dyDescent="0.3">
      <c r="A13">
        <v>2023</v>
      </c>
      <c r="B13" t="s">
        <v>61</v>
      </c>
      <c r="C13" s="2" t="s">
        <v>62</v>
      </c>
      <c r="D13" s="4">
        <v>72008.320000000007</v>
      </c>
      <c r="E13" s="4" t="s">
        <v>63</v>
      </c>
      <c r="F13" s="5" t="s">
        <v>64</v>
      </c>
      <c r="G13" s="3">
        <v>45261</v>
      </c>
    </row>
    <row r="14" spans="1:7" x14ac:dyDescent="0.3">
      <c r="A14">
        <v>2024</v>
      </c>
      <c r="B14" t="s">
        <v>19</v>
      </c>
      <c r="C14" s="2" t="s">
        <v>65</v>
      </c>
      <c r="D14" s="4">
        <v>18461.919999999998</v>
      </c>
      <c r="E14" s="4" t="s">
        <v>66</v>
      </c>
      <c r="F14" s="5" t="s">
        <v>67</v>
      </c>
      <c r="G14" s="3">
        <v>45292</v>
      </c>
    </row>
    <row r="15" spans="1:7" x14ac:dyDescent="0.3">
      <c r="A15">
        <v>2024</v>
      </c>
      <c r="B15" t="s">
        <v>21</v>
      </c>
      <c r="C15" s="2" t="s">
        <v>68</v>
      </c>
      <c r="D15" s="4">
        <v>11951.4</v>
      </c>
      <c r="E15" s="4" t="s">
        <v>69</v>
      </c>
      <c r="F15" s="5" t="s">
        <v>70</v>
      </c>
      <c r="G15" s="3">
        <v>45323</v>
      </c>
    </row>
    <row r="16" spans="1:7" x14ac:dyDescent="0.3">
      <c r="A16">
        <v>2024</v>
      </c>
      <c r="B16" t="s">
        <v>25</v>
      </c>
      <c r="C16" s="2" t="s">
        <v>71</v>
      </c>
      <c r="D16" s="4">
        <v>39978.639999999999</v>
      </c>
      <c r="E16" s="4" t="s">
        <v>72</v>
      </c>
      <c r="F16" s="5" t="s">
        <v>73</v>
      </c>
      <c r="G16" s="3">
        <v>45352</v>
      </c>
    </row>
    <row r="17" spans="1:7" x14ac:dyDescent="0.3">
      <c r="A17">
        <v>2024</v>
      </c>
      <c r="B17" t="s">
        <v>29</v>
      </c>
      <c r="C17" s="2" t="s">
        <v>74</v>
      </c>
      <c r="D17" s="4">
        <v>34195.25</v>
      </c>
      <c r="E17" s="4" t="s">
        <v>75</v>
      </c>
      <c r="F17" s="5" t="s">
        <v>76</v>
      </c>
      <c r="G17" s="3">
        <v>45383</v>
      </c>
    </row>
    <row r="18" spans="1:7" x14ac:dyDescent="0.3">
      <c r="A18">
        <v>2024</v>
      </c>
      <c r="B18" t="s">
        <v>33</v>
      </c>
      <c r="C18" s="2" t="s">
        <v>77</v>
      </c>
      <c r="D18" s="4">
        <v>30246.98</v>
      </c>
      <c r="E18" s="4" t="s">
        <v>78</v>
      </c>
      <c r="F18" s="5" t="s">
        <v>79</v>
      </c>
      <c r="G18" s="3">
        <v>45413</v>
      </c>
    </row>
    <row r="19" spans="1:7" x14ac:dyDescent="0.3">
      <c r="A19">
        <v>2024</v>
      </c>
      <c r="B19" t="s">
        <v>37</v>
      </c>
      <c r="C19" s="2" t="s">
        <v>80</v>
      </c>
      <c r="D19" s="4">
        <v>24797.31</v>
      </c>
      <c r="E19" s="4" t="s">
        <v>81</v>
      </c>
      <c r="F19" s="5" t="s">
        <v>82</v>
      </c>
      <c r="G19" s="3">
        <v>45444</v>
      </c>
    </row>
    <row r="20" spans="1:7" x14ac:dyDescent="0.3">
      <c r="A20">
        <v>2024</v>
      </c>
      <c r="B20" t="s">
        <v>41</v>
      </c>
      <c r="C20" s="2" t="s">
        <v>83</v>
      </c>
      <c r="D20" s="4">
        <v>28765.32</v>
      </c>
      <c r="E20" s="4" t="s">
        <v>84</v>
      </c>
      <c r="F20" s="5" t="s">
        <v>85</v>
      </c>
      <c r="G20" s="3">
        <v>45474</v>
      </c>
    </row>
    <row r="21" spans="1:7" x14ac:dyDescent="0.3">
      <c r="A21">
        <v>2024</v>
      </c>
      <c r="B21" t="s">
        <v>45</v>
      </c>
      <c r="C21" s="2" t="s">
        <v>86</v>
      </c>
      <c r="D21" s="4">
        <v>37056.99</v>
      </c>
      <c r="E21" s="4" t="s">
        <v>87</v>
      </c>
      <c r="F21" s="5" t="s">
        <v>88</v>
      </c>
      <c r="G21" s="3">
        <v>45505</v>
      </c>
    </row>
    <row r="22" spans="1:7" x14ac:dyDescent="0.3">
      <c r="A22">
        <v>2024</v>
      </c>
      <c r="B22" t="s">
        <v>49</v>
      </c>
      <c r="C22" s="2" t="s">
        <v>89</v>
      </c>
      <c r="D22" s="4">
        <v>64627</v>
      </c>
      <c r="E22" s="4" t="s">
        <v>90</v>
      </c>
      <c r="F22" s="5" t="s">
        <v>91</v>
      </c>
      <c r="G22" s="3">
        <v>45536</v>
      </c>
    </row>
    <row r="23" spans="1:7" x14ac:dyDescent="0.3">
      <c r="A23">
        <v>2024</v>
      </c>
      <c r="B23" t="s">
        <v>53</v>
      </c>
      <c r="C23" s="2" t="s">
        <v>92</v>
      </c>
      <c r="D23" s="4">
        <v>31407.11</v>
      </c>
      <c r="E23" s="4" t="s">
        <v>93</v>
      </c>
      <c r="F23" s="5" t="s">
        <v>94</v>
      </c>
      <c r="G23" s="3">
        <v>45566</v>
      </c>
    </row>
    <row r="24" spans="1:7" x14ac:dyDescent="0.3">
      <c r="A24">
        <v>2024</v>
      </c>
      <c r="B24" t="s">
        <v>57</v>
      </c>
      <c r="C24" s="2" t="s">
        <v>95</v>
      </c>
      <c r="D24" s="4">
        <v>75972.509999999995</v>
      </c>
      <c r="E24" s="4" t="s">
        <v>96</v>
      </c>
      <c r="F24" s="5" t="s">
        <v>97</v>
      </c>
      <c r="G24" s="3">
        <v>45597</v>
      </c>
    </row>
    <row r="25" spans="1:7" x14ac:dyDescent="0.3">
      <c r="A25">
        <v>2024</v>
      </c>
      <c r="B25" t="s">
        <v>61</v>
      </c>
      <c r="C25" s="2" t="s">
        <v>98</v>
      </c>
      <c r="D25" s="4">
        <v>75532.55</v>
      </c>
      <c r="E25" s="4" t="s">
        <v>99</v>
      </c>
      <c r="F25" s="5" t="s">
        <v>100</v>
      </c>
      <c r="G25" s="3">
        <v>45627</v>
      </c>
    </row>
    <row r="26" spans="1:7" x14ac:dyDescent="0.3">
      <c r="A26">
        <v>2025</v>
      </c>
      <c r="B26" t="s">
        <v>19</v>
      </c>
      <c r="C26" s="2" t="s">
        <v>101</v>
      </c>
      <c r="D26" s="4">
        <v>18830.36</v>
      </c>
      <c r="E26" s="4" t="s">
        <v>102</v>
      </c>
      <c r="F26" s="5" t="s">
        <v>103</v>
      </c>
      <c r="G26" s="3">
        <v>45658</v>
      </c>
    </row>
    <row r="27" spans="1:7" x14ac:dyDescent="0.3">
      <c r="A27">
        <v>2025</v>
      </c>
      <c r="B27" t="s">
        <v>21</v>
      </c>
      <c r="C27" s="2" t="s">
        <v>104</v>
      </c>
      <c r="D27" s="4">
        <v>22978.82</v>
      </c>
      <c r="E27" s="4" t="s">
        <v>105</v>
      </c>
      <c r="F27" s="5" t="s">
        <v>106</v>
      </c>
      <c r="G27" s="3">
        <v>45689</v>
      </c>
    </row>
    <row r="28" spans="1:7" x14ac:dyDescent="0.3">
      <c r="A28">
        <v>2025</v>
      </c>
      <c r="B28" t="s">
        <v>25</v>
      </c>
      <c r="C28" s="2" t="s">
        <v>107</v>
      </c>
      <c r="D28" s="4">
        <v>53031.05</v>
      </c>
      <c r="E28" s="4" t="s">
        <v>108</v>
      </c>
      <c r="F28" s="5" t="s">
        <v>109</v>
      </c>
      <c r="G28" s="3">
        <v>45717</v>
      </c>
    </row>
    <row r="29" spans="1:7" x14ac:dyDescent="0.3">
      <c r="A29">
        <v>2025</v>
      </c>
      <c r="B29" t="s">
        <v>29</v>
      </c>
      <c r="C29" s="2" t="s">
        <v>110</v>
      </c>
      <c r="D29" s="4">
        <v>38829.160000000003</v>
      </c>
      <c r="E29" s="4" t="s">
        <v>111</v>
      </c>
      <c r="F29" s="5" t="s">
        <v>112</v>
      </c>
      <c r="G29" s="3">
        <v>45748</v>
      </c>
    </row>
    <row r="30" spans="1:7" x14ac:dyDescent="0.3">
      <c r="A30">
        <v>2025</v>
      </c>
      <c r="B30" t="s">
        <v>33</v>
      </c>
      <c r="C30" s="2" t="s">
        <v>113</v>
      </c>
      <c r="D30" s="4">
        <v>57042.86</v>
      </c>
      <c r="E30" s="4" t="s">
        <v>114</v>
      </c>
      <c r="F30" s="5" t="s">
        <v>115</v>
      </c>
      <c r="G30" s="3">
        <v>45778</v>
      </c>
    </row>
    <row r="31" spans="1:7" x14ac:dyDescent="0.3">
      <c r="A31">
        <v>2025</v>
      </c>
      <c r="B31" t="s">
        <v>37</v>
      </c>
      <c r="C31" s="2" t="s">
        <v>116</v>
      </c>
      <c r="D31" s="4">
        <v>40937.15</v>
      </c>
      <c r="E31" s="4" t="s">
        <v>117</v>
      </c>
      <c r="F31" s="5" t="s">
        <v>118</v>
      </c>
      <c r="G31" s="3">
        <v>45809</v>
      </c>
    </row>
    <row r="32" spans="1:7" x14ac:dyDescent="0.3">
      <c r="A32">
        <v>2025</v>
      </c>
      <c r="B32" t="s">
        <v>41</v>
      </c>
      <c r="C32" s="2" t="s">
        <v>119</v>
      </c>
      <c r="D32" s="4">
        <v>40300.53</v>
      </c>
      <c r="E32" s="4" t="s">
        <v>120</v>
      </c>
      <c r="F32" s="5" t="s">
        <v>121</v>
      </c>
      <c r="G32" s="3">
        <v>45839</v>
      </c>
    </row>
    <row r="33" spans="1:7" x14ac:dyDescent="0.3">
      <c r="A33">
        <v>2025</v>
      </c>
      <c r="B33" t="s">
        <v>45</v>
      </c>
      <c r="C33" s="2" t="s">
        <v>122</v>
      </c>
      <c r="D33" s="4">
        <v>31716.79</v>
      </c>
      <c r="E33" s="4" t="s">
        <v>123</v>
      </c>
      <c r="F33" s="5" t="s">
        <v>124</v>
      </c>
      <c r="G33" s="3">
        <v>45870</v>
      </c>
    </row>
    <row r="34" spans="1:7" x14ac:dyDescent="0.3">
      <c r="A34">
        <v>2025</v>
      </c>
      <c r="B34" t="s">
        <v>49</v>
      </c>
      <c r="C34" s="2" t="s">
        <v>125</v>
      </c>
      <c r="D34" s="4">
        <v>73521.73</v>
      </c>
      <c r="E34" s="4" t="s">
        <v>126</v>
      </c>
      <c r="F34" s="5" t="s">
        <v>127</v>
      </c>
      <c r="G34" s="3">
        <v>45901</v>
      </c>
    </row>
    <row r="35" spans="1:7" x14ac:dyDescent="0.3">
      <c r="A35">
        <v>2025</v>
      </c>
      <c r="B35" t="s">
        <v>53</v>
      </c>
      <c r="C35" s="2" t="s">
        <v>128</v>
      </c>
      <c r="D35" s="4">
        <v>59831.05</v>
      </c>
      <c r="E35" s="4" t="s">
        <v>129</v>
      </c>
      <c r="F35" s="5" t="s">
        <v>130</v>
      </c>
      <c r="G35" s="3">
        <v>45931</v>
      </c>
    </row>
    <row r="36" spans="1:7" x14ac:dyDescent="0.3">
      <c r="A36">
        <v>2025</v>
      </c>
      <c r="B36" t="s">
        <v>57</v>
      </c>
      <c r="C36" s="2" t="s">
        <v>131</v>
      </c>
      <c r="D36" s="4">
        <v>79412.03</v>
      </c>
      <c r="E36" s="4" t="s">
        <v>132</v>
      </c>
      <c r="F36" s="5" t="s">
        <v>133</v>
      </c>
      <c r="G36" s="3">
        <v>45962</v>
      </c>
    </row>
    <row r="37" spans="1:7" x14ac:dyDescent="0.3">
      <c r="A37">
        <v>2025</v>
      </c>
      <c r="B37" t="s">
        <v>61</v>
      </c>
      <c r="C37" s="2" t="s">
        <v>134</v>
      </c>
      <c r="D37" s="4">
        <v>97502.3</v>
      </c>
      <c r="E37" s="4" t="s">
        <v>135</v>
      </c>
      <c r="F37" s="5" t="s">
        <v>136</v>
      </c>
      <c r="G37" s="3">
        <v>45992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9678-2B1B-499E-9D20-DDDC620BACEF}">
  <dimension ref="A1:E5"/>
  <sheetViews>
    <sheetView workbookViewId="0">
      <selection activeCell="E5" sqref="E5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2.109375" style="4" bestFit="1" customWidth="1"/>
    <col min="4" max="4" width="12.77734375" style="4" bestFit="1" customWidth="1"/>
    <col min="5" max="5" width="18.44140625" bestFit="1" customWidth="1"/>
  </cols>
  <sheetData>
    <row r="1" spans="1:5" x14ac:dyDescent="0.3">
      <c r="A1" t="s">
        <v>215</v>
      </c>
      <c r="B1" t="s">
        <v>3</v>
      </c>
      <c r="C1" s="4" t="s">
        <v>0</v>
      </c>
      <c r="D1" s="4" t="s">
        <v>1</v>
      </c>
      <c r="E1" t="s">
        <v>216</v>
      </c>
    </row>
    <row r="2" spans="1:5" x14ac:dyDescent="0.3">
      <c r="A2" t="s">
        <v>217</v>
      </c>
      <c r="B2">
        <v>2052</v>
      </c>
      <c r="C2" s="4">
        <v>973042.89</v>
      </c>
      <c r="D2" s="4">
        <v>116981.86</v>
      </c>
      <c r="E2">
        <v>5</v>
      </c>
    </row>
    <row r="3" spans="1:5" x14ac:dyDescent="0.3">
      <c r="A3" t="s">
        <v>218</v>
      </c>
      <c r="B3">
        <v>652</v>
      </c>
      <c r="C3" s="4">
        <v>315961.46000000002</v>
      </c>
      <c r="D3" s="4">
        <v>37991.35</v>
      </c>
      <c r="E3">
        <v>3.2</v>
      </c>
    </row>
    <row r="4" spans="1:5" x14ac:dyDescent="0.3">
      <c r="A4" t="s">
        <v>219</v>
      </c>
      <c r="B4">
        <v>508</v>
      </c>
      <c r="C4" s="4">
        <v>211545.53</v>
      </c>
      <c r="D4" s="4">
        <v>28632.93</v>
      </c>
      <c r="E4">
        <v>2.2000000000000002</v>
      </c>
    </row>
    <row r="5" spans="1:5" x14ac:dyDescent="0.3">
      <c r="A5" t="s">
        <v>220</v>
      </c>
      <c r="B5">
        <v>176</v>
      </c>
      <c r="C5" s="4">
        <v>80417.2</v>
      </c>
      <c r="D5" s="4">
        <v>12764.58</v>
      </c>
      <c r="E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0106-06B7-419B-B49D-3CFB146F71FD}">
  <dimension ref="A1:F5"/>
  <sheetViews>
    <sheetView workbookViewId="0">
      <selection activeCell="C12" sqref="C12"/>
    </sheetView>
  </sheetViews>
  <sheetFormatPr defaultRowHeight="14.4" x14ac:dyDescent="0.3"/>
  <cols>
    <col min="1" max="1" width="8.5546875" bestFit="1" customWidth="1"/>
    <col min="2" max="2" width="13.44140625" bestFit="1" customWidth="1"/>
    <col min="3" max="3" width="12.109375" style="4" bestFit="1" customWidth="1"/>
    <col min="4" max="4" width="12.77734375" style="4" bestFit="1" customWidth="1"/>
    <col min="5" max="5" width="18.5546875" style="5" bestFit="1" customWidth="1"/>
    <col min="6" max="6" width="17.44140625" style="4" bestFit="1" customWidth="1"/>
  </cols>
  <sheetData>
    <row r="1" spans="1:6" x14ac:dyDescent="0.3">
      <c r="A1" t="s">
        <v>137</v>
      </c>
      <c r="B1" t="s">
        <v>3</v>
      </c>
      <c r="C1" s="4" t="s">
        <v>0</v>
      </c>
      <c r="D1" s="4" t="s">
        <v>1</v>
      </c>
      <c r="E1" s="5" t="s">
        <v>2</v>
      </c>
      <c r="F1" s="4" t="s">
        <v>138</v>
      </c>
    </row>
    <row r="2" spans="1:6" x14ac:dyDescent="0.3">
      <c r="A2" t="s">
        <v>139</v>
      </c>
      <c r="B2">
        <v>1089</v>
      </c>
      <c r="C2" s="4">
        <v>481572.69</v>
      </c>
      <c r="D2" s="4">
        <v>65373.99</v>
      </c>
      <c r="E2" s="5">
        <v>13.58</v>
      </c>
      <c r="F2" s="4">
        <v>442.22</v>
      </c>
    </row>
    <row r="3" spans="1:6" x14ac:dyDescent="0.3">
      <c r="A3" t="s">
        <v>140</v>
      </c>
      <c r="B3">
        <v>979</v>
      </c>
      <c r="C3" s="4">
        <v>475261.18</v>
      </c>
      <c r="D3" s="4">
        <v>60802.86</v>
      </c>
      <c r="E3" s="5">
        <v>12.79</v>
      </c>
      <c r="F3" s="4">
        <v>485.46</v>
      </c>
    </row>
    <row r="4" spans="1:6" x14ac:dyDescent="0.3">
      <c r="A4" t="s">
        <v>141</v>
      </c>
      <c r="B4">
        <v>771</v>
      </c>
      <c r="C4" s="4">
        <v>355317.13</v>
      </c>
      <c r="D4" s="4">
        <v>32293.14</v>
      </c>
      <c r="E4" s="5">
        <v>9.09</v>
      </c>
      <c r="F4" s="4">
        <v>460.85</v>
      </c>
    </row>
    <row r="5" spans="1:6" x14ac:dyDescent="0.3">
      <c r="A5" t="s">
        <v>142</v>
      </c>
      <c r="B5">
        <v>549</v>
      </c>
      <c r="C5" s="4">
        <v>268816.08</v>
      </c>
      <c r="D5" s="4">
        <v>37900.730000000003</v>
      </c>
      <c r="E5" s="5">
        <v>14.1</v>
      </c>
      <c r="F5" s="4">
        <v>489.65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B6D7-A5B3-4FE1-89F6-9E1978C6E5F5}">
  <dimension ref="A1:F21"/>
  <sheetViews>
    <sheetView workbookViewId="0">
      <selection activeCell="B12" sqref="B12"/>
    </sheetView>
  </sheetViews>
  <sheetFormatPr defaultRowHeight="14.4" x14ac:dyDescent="0.3"/>
  <cols>
    <col min="1" max="1" width="16.21875" bestFit="1" customWidth="1"/>
    <col min="2" max="2" width="24.5546875" bestFit="1" customWidth="1"/>
    <col min="3" max="3" width="13.44140625" bestFit="1" customWidth="1"/>
    <col min="4" max="4" width="12.109375" style="4" bestFit="1" customWidth="1"/>
    <col min="5" max="5" width="12.77734375" style="4" bestFit="1" customWidth="1"/>
    <col min="6" max="6" width="7" bestFit="1" customWidth="1"/>
    <col min="7" max="7" width="13.33203125" customWidth="1"/>
    <col min="8" max="8" width="15.109375" customWidth="1"/>
  </cols>
  <sheetData>
    <row r="1" spans="1:6" x14ac:dyDescent="0.3">
      <c r="A1" t="s">
        <v>143</v>
      </c>
      <c r="B1" t="s">
        <v>144</v>
      </c>
      <c r="C1" t="s">
        <v>3</v>
      </c>
      <c r="D1" s="4" t="s">
        <v>0</v>
      </c>
      <c r="E1" s="4" t="s">
        <v>1</v>
      </c>
      <c r="F1" t="s">
        <v>145</v>
      </c>
    </row>
    <row r="2" spans="1:6" x14ac:dyDescent="0.3">
      <c r="A2" t="s">
        <v>146</v>
      </c>
      <c r="B2" t="s">
        <v>147</v>
      </c>
      <c r="C2">
        <v>13</v>
      </c>
      <c r="D2" s="4">
        <v>5409.96</v>
      </c>
      <c r="E2" s="4">
        <v>1509.04</v>
      </c>
      <c r="F2">
        <v>1</v>
      </c>
    </row>
    <row r="3" spans="1:6" x14ac:dyDescent="0.3">
      <c r="A3" t="s">
        <v>146</v>
      </c>
      <c r="B3" t="s">
        <v>148</v>
      </c>
      <c r="C3">
        <v>6</v>
      </c>
      <c r="D3" s="4">
        <v>4610.3100000000004</v>
      </c>
      <c r="E3" s="4">
        <v>624.84</v>
      </c>
      <c r="F3">
        <v>2</v>
      </c>
    </row>
    <row r="4" spans="1:6" x14ac:dyDescent="0.3">
      <c r="A4" t="s">
        <v>146</v>
      </c>
      <c r="B4" t="s">
        <v>149</v>
      </c>
      <c r="C4">
        <v>21</v>
      </c>
      <c r="D4" s="4">
        <v>2873.21</v>
      </c>
      <c r="E4" s="4">
        <v>827.82</v>
      </c>
      <c r="F4">
        <v>3</v>
      </c>
    </row>
    <row r="5" spans="1:6" x14ac:dyDescent="0.3">
      <c r="A5" t="s">
        <v>146</v>
      </c>
      <c r="B5" t="s">
        <v>150</v>
      </c>
      <c r="C5">
        <v>9</v>
      </c>
      <c r="D5" s="4">
        <v>1568.84</v>
      </c>
      <c r="E5" s="4">
        <v>119.68</v>
      </c>
      <c r="F5">
        <v>4</v>
      </c>
    </row>
    <row r="6" spans="1:6" x14ac:dyDescent="0.3">
      <c r="A6" t="s">
        <v>146</v>
      </c>
      <c r="B6" t="s">
        <v>151</v>
      </c>
      <c r="C6">
        <v>2</v>
      </c>
      <c r="D6" s="4">
        <v>1175.31</v>
      </c>
      <c r="E6" s="4">
        <v>137.6</v>
      </c>
      <c r="F6">
        <v>5</v>
      </c>
    </row>
    <row r="7" spans="1:6" x14ac:dyDescent="0.3">
      <c r="A7" t="s">
        <v>146</v>
      </c>
      <c r="B7" t="s">
        <v>152</v>
      </c>
      <c r="C7">
        <v>2</v>
      </c>
      <c r="D7" s="4">
        <v>543.95000000000005</v>
      </c>
      <c r="E7" s="4">
        <v>164.68</v>
      </c>
      <c r="F7">
        <v>6</v>
      </c>
    </row>
    <row r="8" spans="1:6" x14ac:dyDescent="0.3">
      <c r="A8" t="s">
        <v>146</v>
      </c>
      <c r="B8" t="s">
        <v>153</v>
      </c>
      <c r="C8">
        <v>3</v>
      </c>
      <c r="D8" s="4">
        <v>316.95999999999998</v>
      </c>
      <c r="E8" s="4">
        <v>115.83</v>
      </c>
      <c r="F8">
        <v>7</v>
      </c>
    </row>
    <row r="9" spans="1:6" x14ac:dyDescent="0.3">
      <c r="A9" t="s">
        <v>146</v>
      </c>
      <c r="B9" t="s">
        <v>154</v>
      </c>
      <c r="C9">
        <v>4</v>
      </c>
      <c r="D9" s="4">
        <v>249.43</v>
      </c>
      <c r="E9" s="4">
        <v>-51.16</v>
      </c>
      <c r="F9">
        <v>8</v>
      </c>
    </row>
    <row r="10" spans="1:6" x14ac:dyDescent="0.3">
      <c r="A10" t="s">
        <v>146</v>
      </c>
      <c r="B10" t="s">
        <v>155</v>
      </c>
      <c r="C10">
        <v>5</v>
      </c>
      <c r="D10" s="4">
        <v>169.26</v>
      </c>
      <c r="E10" s="4">
        <v>-55.62</v>
      </c>
      <c r="F10">
        <v>9</v>
      </c>
    </row>
    <row r="11" spans="1:6" x14ac:dyDescent="0.3">
      <c r="A11" t="s">
        <v>146</v>
      </c>
      <c r="B11" t="s">
        <v>156</v>
      </c>
      <c r="C11">
        <v>1</v>
      </c>
      <c r="D11" s="4">
        <v>63.97</v>
      </c>
      <c r="E11" s="4">
        <v>19.989999999999998</v>
      </c>
      <c r="F11">
        <v>10</v>
      </c>
    </row>
    <row r="12" spans="1:6" x14ac:dyDescent="0.3">
      <c r="A12" t="s">
        <v>157</v>
      </c>
      <c r="B12" t="s">
        <v>158</v>
      </c>
      <c r="C12">
        <v>677</v>
      </c>
      <c r="D12" s="4">
        <v>311299.34999999998</v>
      </c>
      <c r="E12" s="4">
        <v>47014.92</v>
      </c>
      <c r="F12">
        <v>1</v>
      </c>
    </row>
    <row r="13" spans="1:6" x14ac:dyDescent="0.3">
      <c r="A13" t="s">
        <v>157</v>
      </c>
      <c r="B13" t="s">
        <v>159</v>
      </c>
      <c r="C13">
        <v>388</v>
      </c>
      <c r="D13" s="4">
        <v>216953.22</v>
      </c>
      <c r="E13" s="4">
        <v>49681.59</v>
      </c>
      <c r="F13">
        <v>2</v>
      </c>
    </row>
    <row r="14" spans="1:6" x14ac:dyDescent="0.3">
      <c r="A14" t="s">
        <v>157</v>
      </c>
      <c r="B14" t="s">
        <v>160</v>
      </c>
      <c r="C14">
        <v>323</v>
      </c>
      <c r="D14" s="4">
        <v>126766.27</v>
      </c>
      <c r="E14" s="4">
        <v>-16890.810000000001</v>
      </c>
      <c r="F14">
        <v>3</v>
      </c>
    </row>
    <row r="15" spans="1:6" x14ac:dyDescent="0.3">
      <c r="A15" t="s">
        <v>157</v>
      </c>
      <c r="B15" t="s">
        <v>161</v>
      </c>
      <c r="C15">
        <v>189</v>
      </c>
      <c r="D15" s="4">
        <v>73823.649999999994</v>
      </c>
      <c r="E15" s="4">
        <v>-10447.200000000001</v>
      </c>
      <c r="F15">
        <v>4</v>
      </c>
    </row>
    <row r="16" spans="1:6" x14ac:dyDescent="0.3">
      <c r="A16" t="s">
        <v>157</v>
      </c>
      <c r="B16" t="s">
        <v>162</v>
      </c>
      <c r="C16">
        <v>160</v>
      </c>
      <c r="D16" s="4">
        <v>73101.36</v>
      </c>
      <c r="E16" s="4">
        <v>16145.84</v>
      </c>
      <c r="F16">
        <v>5</v>
      </c>
    </row>
    <row r="17" spans="1:6" x14ac:dyDescent="0.3">
      <c r="A17" t="s">
        <v>157</v>
      </c>
      <c r="B17" t="s">
        <v>163</v>
      </c>
      <c r="C17">
        <v>91</v>
      </c>
      <c r="D17" s="4">
        <v>63036.52</v>
      </c>
      <c r="E17" s="4">
        <v>16791.98</v>
      </c>
      <c r="F17">
        <v>6</v>
      </c>
    </row>
    <row r="18" spans="1:6" x14ac:dyDescent="0.3">
      <c r="A18" t="s">
        <v>157</v>
      </c>
      <c r="B18" t="s">
        <v>164</v>
      </c>
      <c r="C18">
        <v>130</v>
      </c>
      <c r="D18" s="4">
        <v>63029.01</v>
      </c>
      <c r="E18" s="4">
        <v>-3643.38</v>
      </c>
      <c r="F18">
        <v>7</v>
      </c>
    </row>
    <row r="19" spans="1:6" x14ac:dyDescent="0.3">
      <c r="A19" t="s">
        <v>157</v>
      </c>
      <c r="B19" t="s">
        <v>165</v>
      </c>
      <c r="C19">
        <v>176</v>
      </c>
      <c r="D19" s="4">
        <v>55814.559999999998</v>
      </c>
      <c r="E19" s="4">
        <v>-5862.34</v>
      </c>
      <c r="F19">
        <v>8</v>
      </c>
    </row>
    <row r="20" spans="1:6" x14ac:dyDescent="0.3">
      <c r="A20" t="s">
        <v>157</v>
      </c>
      <c r="B20" t="s">
        <v>166</v>
      </c>
      <c r="C20">
        <v>150</v>
      </c>
      <c r="D20" s="4">
        <v>54993.35</v>
      </c>
      <c r="E20" s="4">
        <v>-15234.85</v>
      </c>
      <c r="F20">
        <v>9</v>
      </c>
    </row>
    <row r="21" spans="1:6" x14ac:dyDescent="0.3">
      <c r="A21" t="s">
        <v>157</v>
      </c>
      <c r="B21" t="s">
        <v>167</v>
      </c>
      <c r="C21">
        <v>83</v>
      </c>
      <c r="D21" s="4">
        <v>50435.97</v>
      </c>
      <c r="E21" s="4">
        <v>15975.41</v>
      </c>
      <c r="F21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EABE-0916-448E-BF65-FEF6047F110B}">
  <dimension ref="A1:E13"/>
  <sheetViews>
    <sheetView workbookViewId="0">
      <selection activeCell="C20" sqref="C20"/>
    </sheetView>
  </sheetViews>
  <sheetFormatPr defaultRowHeight="14.4" x14ac:dyDescent="0.3"/>
  <cols>
    <col min="1" max="1" width="16.109375" customWidth="1"/>
    <col min="2" max="2" width="12.44140625" customWidth="1"/>
    <col min="3" max="3" width="22.44140625" style="4" customWidth="1"/>
    <col min="4" max="4" width="23.44140625" style="4" customWidth="1"/>
    <col min="5" max="5" width="22.21875" style="4" customWidth="1"/>
    <col min="6" max="6" width="15.21875" customWidth="1"/>
  </cols>
  <sheetData>
    <row r="1" spans="1:5" x14ac:dyDescent="0.3">
      <c r="A1" s="57" t="s">
        <v>235</v>
      </c>
      <c r="B1" s="58"/>
      <c r="C1" s="58"/>
      <c r="D1" s="58"/>
      <c r="E1" s="59"/>
    </row>
    <row r="2" spans="1:5" x14ac:dyDescent="0.3">
      <c r="A2" s="17" t="s">
        <v>229</v>
      </c>
      <c r="B2" s="10" t="s">
        <v>224</v>
      </c>
      <c r="C2" s="11" t="s">
        <v>222</v>
      </c>
      <c r="D2" s="11" t="s">
        <v>223</v>
      </c>
      <c r="E2" s="26" t="s">
        <v>230</v>
      </c>
    </row>
    <row r="3" spans="1:5" x14ac:dyDescent="0.3">
      <c r="A3" s="12" t="s">
        <v>168</v>
      </c>
      <c r="B3" s="8">
        <v>3</v>
      </c>
      <c r="C3" s="9">
        <v>24508.65</v>
      </c>
      <c r="D3" s="9">
        <v>-2015.03</v>
      </c>
      <c r="E3" s="27">
        <v>8169.55</v>
      </c>
    </row>
    <row r="4" spans="1:5" x14ac:dyDescent="0.3">
      <c r="A4" s="12" t="s">
        <v>169</v>
      </c>
      <c r="B4" s="8">
        <v>5</v>
      </c>
      <c r="C4" s="9">
        <v>19052.22</v>
      </c>
      <c r="D4" s="9">
        <v>8981.32</v>
      </c>
      <c r="E4" s="27">
        <v>3810.44</v>
      </c>
    </row>
    <row r="5" spans="1:5" x14ac:dyDescent="0.3">
      <c r="A5" s="12" t="s">
        <v>170</v>
      </c>
      <c r="B5" s="8">
        <v>8</v>
      </c>
      <c r="C5" s="9">
        <v>14129.64</v>
      </c>
      <c r="D5" s="9">
        <v>5751.58</v>
      </c>
      <c r="E5" s="27">
        <v>1766.21</v>
      </c>
    </row>
    <row r="6" spans="1:5" x14ac:dyDescent="0.3">
      <c r="A6" s="12" t="s">
        <v>171</v>
      </c>
      <c r="B6" s="8">
        <v>9</v>
      </c>
      <c r="C6" s="9">
        <v>13604.84</v>
      </c>
      <c r="D6" s="9">
        <v>645.12</v>
      </c>
      <c r="E6" s="27">
        <v>1511.65</v>
      </c>
    </row>
    <row r="7" spans="1:5" x14ac:dyDescent="0.3">
      <c r="A7" s="12" t="s">
        <v>172</v>
      </c>
      <c r="B7" s="8">
        <v>5</v>
      </c>
      <c r="C7" s="9">
        <v>12182.53</v>
      </c>
      <c r="D7" s="9">
        <v>5103.67</v>
      </c>
      <c r="E7" s="27">
        <v>2436.5100000000002</v>
      </c>
    </row>
    <row r="8" spans="1:5" x14ac:dyDescent="0.3">
      <c r="A8" s="12" t="s">
        <v>173</v>
      </c>
      <c r="B8" s="8">
        <v>3</v>
      </c>
      <c r="C8" s="9">
        <v>11901.19</v>
      </c>
      <c r="D8" s="9">
        <v>2083.34</v>
      </c>
      <c r="E8" s="27">
        <v>3967.06</v>
      </c>
    </row>
    <row r="9" spans="1:5" x14ac:dyDescent="0.3">
      <c r="A9" s="12" t="s">
        <v>174</v>
      </c>
      <c r="B9" s="8">
        <v>3</v>
      </c>
      <c r="C9" s="9">
        <v>11432.85</v>
      </c>
      <c r="D9" s="9">
        <v>-1759.87</v>
      </c>
      <c r="E9" s="27">
        <v>3810.95</v>
      </c>
    </row>
    <row r="10" spans="1:5" x14ac:dyDescent="0.3">
      <c r="A10" s="12" t="s">
        <v>175</v>
      </c>
      <c r="B10" s="8">
        <v>7</v>
      </c>
      <c r="C10" s="9">
        <v>10663.68</v>
      </c>
      <c r="D10" s="9">
        <v>2887.5</v>
      </c>
      <c r="E10" s="27">
        <v>1523.38</v>
      </c>
    </row>
    <row r="11" spans="1:5" x14ac:dyDescent="0.3">
      <c r="A11" s="12" t="s">
        <v>176</v>
      </c>
      <c r="B11" s="8">
        <v>7</v>
      </c>
      <c r="C11" s="9">
        <v>10623.28</v>
      </c>
      <c r="D11" s="9">
        <v>2079.8200000000002</v>
      </c>
      <c r="E11" s="27">
        <v>1517.61</v>
      </c>
    </row>
    <row r="12" spans="1:5" x14ac:dyDescent="0.3">
      <c r="A12" s="19" t="s">
        <v>177</v>
      </c>
      <c r="B12" s="20">
        <v>5</v>
      </c>
      <c r="C12" s="21">
        <v>10501.65</v>
      </c>
      <c r="D12" s="21">
        <v>2616.06</v>
      </c>
      <c r="E12" s="28">
        <v>2100.33</v>
      </c>
    </row>
    <row r="13" spans="1:5" x14ac:dyDescent="0.3">
      <c r="A13" s="40" t="s">
        <v>237</v>
      </c>
      <c r="B13" s="40">
        <f>SUM(top_customers[Total Orders])</f>
        <v>55</v>
      </c>
      <c r="C13" s="70">
        <f>SUM(top_customers[Total Sales])</f>
        <v>138600.53</v>
      </c>
      <c r="D13" s="41">
        <f>SUM(top_customers[Total Profit])</f>
        <v>26373.510000000002</v>
      </c>
      <c r="E13" s="41">
        <f>AVERAGE(top_customers[Average Order Value])</f>
        <v>3061.3690000000001</v>
      </c>
    </row>
  </sheetData>
  <mergeCells count="1">
    <mergeCell ref="A1:E1"/>
  </mergeCells>
  <conditionalFormatting sqref="C3:C12">
    <cfRule type="dataBar" priority="2">
      <dataBar>
        <cfvo type="min"/>
        <cfvo type="max"/>
        <color rgb="FFFAD9B0"/>
      </dataBar>
      <extLst>
        <ext xmlns:x14="http://schemas.microsoft.com/office/spreadsheetml/2009/9/main" uri="{B025F937-C7B1-47D3-B67F-A62EFF666E3E}">
          <x14:id>{2D43CD55-1AED-445F-AAD0-476F45046473}</x14:id>
        </ext>
      </extLst>
    </cfRule>
  </conditionalFormatting>
  <conditionalFormatting sqref="C26:C1048576 C2:C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{7087D489-4F3E-4DB2-B141-05E167F2947E}</x14:id>
        </ext>
      </extLst>
    </cfRule>
  </conditionalFormatting>
  <conditionalFormatting sqref="D3:D12">
    <cfRule type="dataBar" priority="3">
      <dataBar>
        <cfvo type="min"/>
        <cfvo type="max"/>
        <color rgb="FFFAD9B0"/>
      </dataBar>
      <extLst>
        <ext xmlns:x14="http://schemas.microsoft.com/office/spreadsheetml/2009/9/main" uri="{B025F937-C7B1-47D3-B67F-A62EFF666E3E}">
          <x14:id>{9A54BC52-BFB5-4797-A5DC-274AF7982CC3}</x14:id>
        </ext>
      </extLst>
    </cfRule>
  </conditionalFormatting>
  <conditionalFormatting sqref="E3:E12">
    <cfRule type="dataBar" priority="1">
      <dataBar>
        <cfvo type="min"/>
        <cfvo type="max"/>
        <color rgb="FFFAD9B0"/>
      </dataBar>
      <extLst>
        <ext xmlns:x14="http://schemas.microsoft.com/office/spreadsheetml/2009/9/main" uri="{B025F937-C7B1-47D3-B67F-A62EFF666E3E}">
          <x14:id>{485AB444-599C-4586-812B-A5C904A01E9E}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43CD55-1AED-445F-AAD0-476F45046473}">
            <x14:dataBar minLength="0" maxLength="100" border="1" negativeBarBorderColorSameAsPositive="0">
              <x14:cfvo type="autoMin"/>
              <x14:cfvo type="autoMax"/>
              <x14:borderColor rgb="FFFFC000"/>
              <x14:negativeFillColor rgb="FFFF0000"/>
              <x14:negativeBorderColor rgb="FFFF0000"/>
              <x14:axisColor rgb="FF000000"/>
            </x14:dataBar>
          </x14:cfRule>
          <xm:sqref>C3:C12</xm:sqref>
        </x14:conditionalFormatting>
        <x14:conditionalFormatting xmlns:xm="http://schemas.microsoft.com/office/excel/2006/main">
          <x14:cfRule type="dataBar" id="{7087D489-4F3E-4DB2-B141-05E167F294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C26:C1048576 C2:C12</xm:sqref>
        </x14:conditionalFormatting>
        <x14:conditionalFormatting xmlns:xm="http://schemas.microsoft.com/office/excel/2006/main">
          <x14:cfRule type="dataBar" id="{9A54BC52-BFB5-4797-A5DC-274AF7982C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7575"/>
              <x14:negativeBorderColor rgb="FFFF0000"/>
              <x14:axisColor rgb="FF000000"/>
            </x14:dataBar>
          </x14:cfRule>
          <xm:sqref>D3:D12</xm:sqref>
        </x14:conditionalFormatting>
        <x14:conditionalFormatting xmlns:xm="http://schemas.microsoft.com/office/excel/2006/main">
          <x14:cfRule type="dataBar" id="{485AB444-599C-4586-812B-A5C904A01E9E}">
            <x14:dataBar minLength="0" maxLength="100" border="1" negativeBarBorderColorSameAsPositive="0">
              <x14:cfvo type="autoMin"/>
              <x14:cfvo type="autoMax"/>
              <x14:borderColor rgb="FFFFC000"/>
              <x14:negativeFillColor rgb="FFFF0000"/>
              <x14:negativeBorderColor rgb="FFFF0000"/>
              <x14:axisColor rgb="FF000000"/>
            </x14:dataBar>
          </x14:cfRule>
          <xm:sqref>E3:E12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7F12-9AB1-4356-91BE-3153EC6CB700}">
  <dimension ref="A1:G4"/>
  <sheetViews>
    <sheetView workbookViewId="0">
      <selection activeCell="D11" sqref="D11"/>
    </sheetView>
  </sheetViews>
  <sheetFormatPr defaultRowHeight="14.4" x14ac:dyDescent="0.3"/>
  <cols>
    <col min="1" max="1" width="11.33203125" bestFit="1" customWidth="1"/>
    <col min="2" max="2" width="16.88671875" bestFit="1" customWidth="1"/>
    <col min="3" max="3" width="13.44140625" bestFit="1" customWidth="1"/>
    <col min="4" max="4" width="12.109375" style="4" bestFit="1" customWidth="1"/>
    <col min="5" max="5" width="12.77734375" style="4" bestFit="1" customWidth="1"/>
    <col min="6" max="6" width="18.5546875" style="5" bestFit="1" customWidth="1"/>
    <col min="7" max="7" width="17.44140625" style="4" bestFit="1" customWidth="1"/>
  </cols>
  <sheetData>
    <row r="1" spans="1:7" x14ac:dyDescent="0.3">
      <c r="A1" t="s">
        <v>211</v>
      </c>
      <c r="B1" t="s">
        <v>4</v>
      </c>
      <c r="C1" t="s">
        <v>3</v>
      </c>
      <c r="D1" s="4" t="s">
        <v>0</v>
      </c>
      <c r="E1" s="4" t="s">
        <v>1</v>
      </c>
      <c r="F1" s="5" t="s">
        <v>2</v>
      </c>
      <c r="G1" s="4" t="s">
        <v>138</v>
      </c>
    </row>
    <row r="2" spans="1:7" x14ac:dyDescent="0.3">
      <c r="A2" t="s">
        <v>212</v>
      </c>
      <c r="B2">
        <v>409</v>
      </c>
      <c r="C2">
        <v>1738</v>
      </c>
      <c r="D2" s="4">
        <v>835747.94</v>
      </c>
      <c r="E2" s="4">
        <v>90101.14</v>
      </c>
      <c r="F2" s="5">
        <v>10.78</v>
      </c>
      <c r="G2" s="4">
        <v>480.87</v>
      </c>
    </row>
    <row r="3" spans="1:7" x14ac:dyDescent="0.3">
      <c r="A3" t="s">
        <v>213</v>
      </c>
      <c r="B3">
        <v>236</v>
      </c>
      <c r="C3">
        <v>1044</v>
      </c>
      <c r="D3" s="4">
        <v>467562.07</v>
      </c>
      <c r="E3" s="4">
        <v>65842.48</v>
      </c>
      <c r="F3" s="5">
        <v>14.08</v>
      </c>
      <c r="G3" s="4">
        <v>447.86</v>
      </c>
    </row>
    <row r="4" spans="1:7" x14ac:dyDescent="0.3">
      <c r="A4" t="s">
        <v>214</v>
      </c>
      <c r="B4">
        <v>148</v>
      </c>
      <c r="C4">
        <v>606</v>
      </c>
      <c r="D4" s="4">
        <v>277657.07</v>
      </c>
      <c r="E4" s="4">
        <v>40427.1</v>
      </c>
      <c r="F4" s="5">
        <v>14.56</v>
      </c>
      <c r="G4" s="4">
        <v>458.18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6A65-8EED-4E3B-96B0-C6597DC7B574}">
  <dimension ref="A1:D4"/>
  <sheetViews>
    <sheetView workbookViewId="0">
      <selection activeCell="B11" sqref="B11"/>
    </sheetView>
  </sheetViews>
  <sheetFormatPr defaultRowHeight="14.4" x14ac:dyDescent="0.3"/>
  <cols>
    <col min="1" max="1" width="13.109375" bestFit="1" customWidth="1"/>
    <col min="2" max="2" width="12.109375" style="4" bestFit="1" customWidth="1"/>
    <col min="3" max="3" width="12.77734375" style="4" bestFit="1" customWidth="1"/>
    <col min="4" max="4" width="18.5546875" style="5" bestFit="1" customWidth="1"/>
  </cols>
  <sheetData>
    <row r="1" spans="1:4" x14ac:dyDescent="0.3">
      <c r="A1" t="s">
        <v>178</v>
      </c>
      <c r="B1" s="4" t="s">
        <v>0</v>
      </c>
      <c r="C1" s="4" t="s">
        <v>1</v>
      </c>
      <c r="D1" s="5" t="s">
        <v>2</v>
      </c>
    </row>
    <row r="2" spans="1:4" x14ac:dyDescent="0.3">
      <c r="A2" t="s">
        <v>179</v>
      </c>
      <c r="B2" s="4">
        <v>567474.17000000004</v>
      </c>
      <c r="C2" s="4">
        <v>95709.62</v>
      </c>
      <c r="D2" s="5">
        <v>16.87</v>
      </c>
    </row>
    <row r="3" spans="1:4" x14ac:dyDescent="0.3">
      <c r="A3" t="s">
        <v>180</v>
      </c>
      <c r="B3" s="4">
        <v>535435.01</v>
      </c>
      <c r="C3" s="4">
        <v>16380.66</v>
      </c>
      <c r="D3" s="5">
        <v>3.06</v>
      </c>
    </row>
    <row r="4" spans="1:4" x14ac:dyDescent="0.3">
      <c r="A4" t="s">
        <v>181</v>
      </c>
      <c r="B4" s="4">
        <v>478057.9</v>
      </c>
      <c r="C4" s="4">
        <v>84280.44</v>
      </c>
      <c r="D4" s="5">
        <v>17.63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F0D7-BC03-4CC5-BB2B-EDD77E0AF9D4}">
  <dimension ref="A1:I25"/>
  <sheetViews>
    <sheetView zoomScaleNormal="100" workbookViewId="0">
      <selection activeCell="G12" sqref="G12"/>
    </sheetView>
  </sheetViews>
  <sheetFormatPr defaultRowHeight="14.4" x14ac:dyDescent="0.3"/>
  <cols>
    <col min="1" max="1" width="22.109375" customWidth="1"/>
    <col min="2" max="2" width="23.21875" customWidth="1"/>
    <col min="3" max="3" width="22.6640625" customWidth="1"/>
    <col min="4" max="4" width="12.77734375" bestFit="1" customWidth="1"/>
    <col min="5" max="5" width="7" bestFit="1" customWidth="1"/>
    <col min="6" max="6" width="11.44140625" customWidth="1"/>
    <col min="7" max="7" width="14" customWidth="1"/>
    <col min="8" max="8" width="9.33203125" customWidth="1"/>
    <col min="9" max="9" width="8.88671875" customWidth="1"/>
    <col min="10" max="10" width="9" bestFit="1" customWidth="1"/>
    <col min="11" max="11" width="10" bestFit="1" customWidth="1"/>
    <col min="12" max="12" width="9.77734375" bestFit="1" customWidth="1"/>
    <col min="13" max="13" width="10" bestFit="1" customWidth="1"/>
    <col min="14" max="14" width="9" bestFit="1" customWidth="1"/>
    <col min="15" max="15" width="9.5546875" bestFit="1" customWidth="1"/>
    <col min="17" max="17" width="10.44140625" bestFit="1" customWidth="1"/>
    <col min="18" max="18" width="8" bestFit="1" customWidth="1"/>
    <col min="19" max="19" width="9.109375" bestFit="1" customWidth="1"/>
    <col min="20" max="20" width="9" bestFit="1" customWidth="1"/>
    <col min="21" max="22" width="10" bestFit="1" customWidth="1"/>
    <col min="23" max="23" width="9" bestFit="1" customWidth="1"/>
    <col min="24" max="24" width="10" bestFit="1" customWidth="1"/>
    <col min="25" max="25" width="7" bestFit="1" customWidth="1"/>
    <col min="26" max="26" width="11" bestFit="1" customWidth="1"/>
  </cols>
  <sheetData>
    <row r="1" spans="1:9" x14ac:dyDescent="0.3">
      <c r="A1" t="s">
        <v>178</v>
      </c>
      <c r="B1" t="s">
        <v>182</v>
      </c>
      <c r="C1" s="4" t="s">
        <v>0</v>
      </c>
      <c r="D1" t="s">
        <v>1</v>
      </c>
      <c r="E1" t="s">
        <v>145</v>
      </c>
    </row>
    <row r="2" spans="1:9" x14ac:dyDescent="0.3">
      <c r="A2" t="s">
        <v>180</v>
      </c>
      <c r="B2" t="s">
        <v>183</v>
      </c>
      <c r="C2" s="4">
        <v>237735.92</v>
      </c>
      <c r="D2" s="4">
        <v>19435.419999999998</v>
      </c>
      <c r="E2">
        <v>1</v>
      </c>
    </row>
    <row r="3" spans="1:9" x14ac:dyDescent="0.3">
      <c r="A3" t="s">
        <v>180</v>
      </c>
      <c r="B3" t="s">
        <v>184</v>
      </c>
      <c r="C3" s="4">
        <v>147021.09</v>
      </c>
      <c r="D3" s="4">
        <v>-9661.0300000000007</v>
      </c>
      <c r="E3">
        <v>2</v>
      </c>
    </row>
    <row r="4" spans="1:9" x14ac:dyDescent="0.3">
      <c r="A4" t="s">
        <v>180</v>
      </c>
      <c r="B4" t="s">
        <v>185</v>
      </c>
      <c r="C4" s="4">
        <v>85007.17</v>
      </c>
      <c r="D4" s="4">
        <v>-2973.88</v>
      </c>
      <c r="E4">
        <v>3</v>
      </c>
    </row>
    <row r="5" spans="1:9" x14ac:dyDescent="0.3">
      <c r="A5" t="s">
        <v>180</v>
      </c>
      <c r="B5" t="s">
        <v>186</v>
      </c>
      <c r="C5" s="4">
        <v>65670.83</v>
      </c>
      <c r="D5" s="4">
        <v>9580.15</v>
      </c>
      <c r="E5">
        <v>4</v>
      </c>
    </row>
    <row r="6" spans="1:9" x14ac:dyDescent="0.3">
      <c r="A6" t="s">
        <v>181</v>
      </c>
      <c r="B6" t="s">
        <v>187</v>
      </c>
      <c r="C6" s="4">
        <v>154370.75</v>
      </c>
      <c r="D6" s="4">
        <v>13921.85</v>
      </c>
      <c r="E6">
        <v>1</v>
      </c>
    </row>
    <row r="7" spans="1:9" x14ac:dyDescent="0.3">
      <c r="A7" t="s">
        <v>181</v>
      </c>
      <c r="B7" t="s">
        <v>188</v>
      </c>
      <c r="C7" s="4">
        <v>133703.60999999999</v>
      </c>
      <c r="D7" s="4">
        <v>23485.07</v>
      </c>
      <c r="E7">
        <v>2</v>
      </c>
    </row>
    <row r="8" spans="1:9" x14ac:dyDescent="0.3">
      <c r="A8" t="s">
        <v>181</v>
      </c>
      <c r="B8" t="s">
        <v>189</v>
      </c>
      <c r="C8" s="4">
        <v>65102.05</v>
      </c>
      <c r="D8" s="4">
        <v>10414.56</v>
      </c>
      <c r="E8">
        <v>3</v>
      </c>
      <c r="G8" s="22"/>
      <c r="H8" s="22"/>
      <c r="I8" s="22"/>
    </row>
    <row r="9" spans="1:9" x14ac:dyDescent="0.3">
      <c r="A9" t="s">
        <v>181</v>
      </c>
      <c r="B9" t="s">
        <v>190</v>
      </c>
      <c r="C9" s="4">
        <v>51367.08</v>
      </c>
      <c r="D9" s="4">
        <v>22257.3</v>
      </c>
      <c r="E9">
        <v>4</v>
      </c>
      <c r="F9" s="18"/>
    </row>
    <row r="10" spans="1:9" x14ac:dyDescent="0.3">
      <c r="A10" t="s">
        <v>181</v>
      </c>
      <c r="B10" t="s">
        <v>191</v>
      </c>
      <c r="C10" s="4">
        <v>30649.83</v>
      </c>
      <c r="D10" s="4">
        <v>-227.02</v>
      </c>
      <c r="E10">
        <v>5</v>
      </c>
      <c r="F10" s="18"/>
    </row>
    <row r="11" spans="1:9" x14ac:dyDescent="0.3">
      <c r="A11" t="s">
        <v>181</v>
      </c>
      <c r="B11" t="s">
        <v>192</v>
      </c>
      <c r="C11" s="4">
        <v>18636.32</v>
      </c>
      <c r="D11" s="4">
        <v>4382.51</v>
      </c>
      <c r="E11">
        <v>6</v>
      </c>
      <c r="F11" s="18"/>
    </row>
    <row r="12" spans="1:9" x14ac:dyDescent="0.3">
      <c r="A12" t="s">
        <v>181</v>
      </c>
      <c r="B12" t="s">
        <v>193</v>
      </c>
      <c r="C12" s="4">
        <v>13149.75</v>
      </c>
      <c r="D12" s="4">
        <v>5546.21</v>
      </c>
      <c r="E12">
        <v>7</v>
      </c>
      <c r="F12" s="18"/>
    </row>
    <row r="13" spans="1:9" x14ac:dyDescent="0.3">
      <c r="A13" t="s">
        <v>181</v>
      </c>
      <c r="B13" t="s">
        <v>194</v>
      </c>
      <c r="C13" s="4">
        <v>8708.01</v>
      </c>
      <c r="D13" s="4">
        <v>3770.2</v>
      </c>
      <c r="E13">
        <v>8</v>
      </c>
    </row>
    <row r="14" spans="1:9" x14ac:dyDescent="0.3">
      <c r="A14" t="s">
        <v>181</v>
      </c>
      <c r="B14" t="s">
        <v>195</v>
      </c>
      <c r="C14" s="4">
        <v>2370.5</v>
      </c>
      <c r="D14" s="4">
        <v>729.76</v>
      </c>
      <c r="E14">
        <v>9</v>
      </c>
    </row>
    <row r="15" spans="1:9" x14ac:dyDescent="0.3">
      <c r="A15" t="s">
        <v>179</v>
      </c>
      <c r="B15" t="s">
        <v>196</v>
      </c>
      <c r="C15" s="4">
        <v>226174.24</v>
      </c>
      <c r="D15" s="4">
        <v>32098.66</v>
      </c>
      <c r="E15">
        <v>1</v>
      </c>
    </row>
    <row r="16" spans="1:9" x14ac:dyDescent="0.3">
      <c r="A16" t="s">
        <v>179</v>
      </c>
      <c r="B16" t="s">
        <v>197</v>
      </c>
      <c r="C16" s="4">
        <v>146037.20000000001</v>
      </c>
      <c r="D16" s="4">
        <v>6292.55</v>
      </c>
      <c r="E16">
        <v>2</v>
      </c>
    </row>
    <row r="17" spans="1:5" x14ac:dyDescent="0.3">
      <c r="A17" t="s">
        <v>179</v>
      </c>
      <c r="B17" t="s">
        <v>198</v>
      </c>
      <c r="C17" s="4">
        <v>107434.1</v>
      </c>
      <c r="D17" s="4">
        <v>26264.32</v>
      </c>
      <c r="E17">
        <v>3</v>
      </c>
    </row>
    <row r="18" spans="1:5" x14ac:dyDescent="0.3">
      <c r="A18" t="s">
        <v>179</v>
      </c>
      <c r="B18" t="s">
        <v>199</v>
      </c>
      <c r="C18" s="4">
        <v>87828.63</v>
      </c>
      <c r="D18" s="4">
        <v>31054.09</v>
      </c>
      <c r="E18">
        <v>4</v>
      </c>
    </row>
    <row r="20" spans="1:5" x14ac:dyDescent="0.3">
      <c r="A20" s="57" t="s">
        <v>232</v>
      </c>
      <c r="B20" s="60"/>
      <c r="C20" s="61"/>
    </row>
    <row r="21" spans="1:5" ht="25.95" customHeight="1" x14ac:dyDescent="0.3">
      <c r="A21" s="24" t="s">
        <v>236</v>
      </c>
      <c r="B21" s="15" t="s">
        <v>234</v>
      </c>
      <c r="C21" s="16" t="s">
        <v>233</v>
      </c>
    </row>
    <row r="22" spans="1:5" ht="22.05" customHeight="1" x14ac:dyDescent="0.3">
      <c r="A22" s="13" t="s">
        <v>184</v>
      </c>
      <c r="B22" s="29">
        <v>147021.09</v>
      </c>
      <c r="C22" s="29">
        <v>-9661.0300000000007</v>
      </c>
    </row>
    <row r="23" spans="1:5" ht="22.05" customHeight="1" x14ac:dyDescent="0.3">
      <c r="A23" s="14" t="s">
        <v>185</v>
      </c>
      <c r="B23" s="30">
        <v>85007.17</v>
      </c>
      <c r="C23" s="30">
        <v>-2973.88</v>
      </c>
    </row>
    <row r="24" spans="1:5" ht="22.05" customHeight="1" x14ac:dyDescent="0.3">
      <c r="A24" s="23" t="s">
        <v>191</v>
      </c>
      <c r="B24" s="31">
        <v>30649.83</v>
      </c>
      <c r="C24" s="31">
        <v>-227.02</v>
      </c>
    </row>
    <row r="25" spans="1:5" x14ac:dyDescent="0.3">
      <c r="A25" s="25"/>
    </row>
  </sheetData>
  <mergeCells count="1">
    <mergeCell ref="A20:C20"/>
  </mergeCells>
  <conditionalFormatting sqref="B21:B24">
    <cfRule type="colorScale" priority="2">
      <colorScale>
        <cfvo type="min"/>
        <cfvo type="max"/>
        <color theme="9" tint="0.79998168889431442"/>
        <color rgb="FF63BE7B"/>
      </colorScale>
    </cfRule>
  </conditionalFormatting>
  <conditionalFormatting sqref="C21:C24">
    <cfRule type="colorScale" priority="1">
      <colorScale>
        <cfvo type="min"/>
        <cfvo type="max"/>
        <color rgb="FFE37F25"/>
        <color rgb="FFF4B05E"/>
      </colorScale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129C-FD72-4600-9945-846DCBAA2724}">
  <dimension ref="A1:F8"/>
  <sheetViews>
    <sheetView workbookViewId="0">
      <selection activeCell="G5" sqref="G5"/>
    </sheetView>
  </sheetViews>
  <sheetFormatPr defaultRowHeight="14.4" x14ac:dyDescent="0.3"/>
  <cols>
    <col min="1" max="1" width="15.88671875" bestFit="1" customWidth="1"/>
    <col min="2" max="2" width="12" bestFit="1" customWidth="1"/>
    <col min="3" max="3" width="12.109375" bestFit="1" customWidth="1"/>
    <col min="4" max="4" width="12.109375" style="4" bestFit="1" customWidth="1"/>
    <col min="5" max="5" width="12.77734375" style="4" bestFit="1" customWidth="1"/>
    <col min="6" max="6" width="15.6640625" style="4" bestFit="1" customWidth="1"/>
  </cols>
  <sheetData>
    <row r="1" spans="1:6" x14ac:dyDescent="0.3">
      <c r="A1" t="s">
        <v>200</v>
      </c>
      <c r="B1" t="s">
        <v>201</v>
      </c>
      <c r="C1" t="s">
        <v>202</v>
      </c>
      <c r="D1" s="4" t="s">
        <v>0</v>
      </c>
      <c r="E1" s="4" t="s">
        <v>1</v>
      </c>
      <c r="F1" s="4" t="s">
        <v>203</v>
      </c>
    </row>
    <row r="2" spans="1:6" x14ac:dyDescent="0.3">
      <c r="A2" t="s">
        <v>204</v>
      </c>
      <c r="B2">
        <v>0</v>
      </c>
      <c r="C2">
        <v>3296</v>
      </c>
      <c r="D2" s="4">
        <v>748350.61</v>
      </c>
      <c r="E2" s="4">
        <v>220093.62</v>
      </c>
      <c r="F2" s="4">
        <v>66.78</v>
      </c>
    </row>
    <row r="3" spans="1:6" x14ac:dyDescent="0.3">
      <c r="A3" t="s">
        <v>205</v>
      </c>
      <c r="B3">
        <v>0.1</v>
      </c>
      <c r="C3">
        <v>67</v>
      </c>
      <c r="D3" s="4">
        <v>35773.730000000003</v>
      </c>
      <c r="E3" s="4">
        <v>5796.95</v>
      </c>
      <c r="F3" s="4">
        <v>86.52</v>
      </c>
    </row>
    <row r="4" spans="1:6" x14ac:dyDescent="0.3">
      <c r="A4" t="s">
        <v>206</v>
      </c>
      <c r="B4">
        <v>0.15</v>
      </c>
      <c r="C4">
        <v>2500</v>
      </c>
      <c r="D4" s="4">
        <v>540200.64</v>
      </c>
      <c r="E4" s="4">
        <v>58682.01</v>
      </c>
      <c r="F4" s="4">
        <v>23.47</v>
      </c>
    </row>
    <row r="5" spans="1:6" x14ac:dyDescent="0.3">
      <c r="A5" t="s">
        <v>207</v>
      </c>
      <c r="B5">
        <v>0.3</v>
      </c>
      <c r="C5">
        <v>161</v>
      </c>
      <c r="D5" s="4">
        <v>72640.69</v>
      </c>
      <c r="E5" s="4">
        <v>-6593.25</v>
      </c>
      <c r="F5" s="4">
        <v>-40.950000000000003</v>
      </c>
    </row>
    <row r="6" spans="1:6" x14ac:dyDescent="0.3">
      <c r="A6" t="s">
        <v>208</v>
      </c>
      <c r="B6">
        <v>0.32</v>
      </c>
      <c r="C6">
        <v>154</v>
      </c>
      <c r="D6" s="4">
        <v>93174.080000000002</v>
      </c>
      <c r="E6" s="4">
        <v>-17152.16</v>
      </c>
      <c r="F6" s="4">
        <v>-111.38</v>
      </c>
    </row>
    <row r="7" spans="1:6" x14ac:dyDescent="0.3">
      <c r="A7" t="s">
        <v>209</v>
      </c>
      <c r="B7">
        <v>0.45</v>
      </c>
      <c r="C7">
        <v>54</v>
      </c>
      <c r="D7" s="4">
        <v>48092.54</v>
      </c>
      <c r="E7" s="4">
        <v>-14906.77</v>
      </c>
      <c r="F7" s="4">
        <v>-276.05</v>
      </c>
    </row>
    <row r="8" spans="1:6" x14ac:dyDescent="0.3">
      <c r="A8" t="s">
        <v>210</v>
      </c>
      <c r="B8">
        <v>0.6</v>
      </c>
      <c r="C8">
        <v>583</v>
      </c>
      <c r="D8" s="4">
        <v>42734.79</v>
      </c>
      <c r="E8" s="4">
        <v>-49549.68</v>
      </c>
      <c r="F8" s="4">
        <v>-84.99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2A740-D784-429A-8CF7-570466F1A1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Dashboard1 - Overview </vt:lpstr>
      <vt:lpstr>Dashboard2 - Region &amp; Customer</vt:lpstr>
      <vt:lpstr>Dashboard3 - Product &amp; Discount</vt:lpstr>
      <vt:lpstr>Business KPI</vt:lpstr>
      <vt:lpstr>yearly_trend</vt:lpstr>
      <vt:lpstr>monthly_trend</vt:lpstr>
      <vt:lpstr>sales_by_shipmode</vt:lpstr>
      <vt:lpstr>sales_by_region</vt:lpstr>
      <vt:lpstr>top_states</vt:lpstr>
      <vt:lpstr>top_customers</vt:lpstr>
      <vt:lpstr>sales_by_customer_segment</vt:lpstr>
      <vt:lpstr>sales_by_category</vt:lpstr>
      <vt:lpstr>subcategory_performance</vt:lpstr>
      <vt:lpstr>discount_impact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Asiya Nizam</dc:creator>
  <cp:lastModifiedBy>Asiya Nizam</cp:lastModifiedBy>
  <dcterms:created xsi:type="dcterms:W3CDTF">2026-05-24T10:29:30Z</dcterms:created>
  <dcterms:modified xsi:type="dcterms:W3CDTF">2026-05-26T23:15:44Z</dcterms:modified>
</cp:coreProperties>
</file>